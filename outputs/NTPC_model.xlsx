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5" activeTab="4"/>
  </bookViews>
  <sheets>
    <sheet name="Cover" sheetId="1" r:id="rId1"/>
    <sheet name="Inputs" sheetId="2" r:id="rId2"/>
    <sheet name="Model" sheetId="3" r:id="rId3"/>
    <sheet name="DCF" sheetId="4" r:id="rId4"/>
    <sheet name="SOTP" sheetId="5" r:id="rId5"/>
    <sheet name="Comps" sheetId="6" r:id="rId6"/>
    <sheet name="Guidance" sheetId="7" r:id="rId7"/>
  </sheets>
  <definedNames>
    <definedName name="in_beta_raw">Inputs!$C$11</definedName>
    <definedName name="in_capz">Inputs!$C$32</definedName>
    <definedName name="in_cash">Inputs!$C$17</definedName>
    <definedName name="in_debt_share">Inputs!$C$33</definedName>
    <definedName name="in_dep">Inputs!$C$31</definedName>
    <definedName name="in_ds">Inputs!$C$5</definedName>
    <definedName name="in_erp">Inputs!$C$6</definedName>
    <definedName name="in_execution">Inputs!$C$20</definedName>
    <definedName name="in_g">Inputs!$C$13</definedName>
    <definedName name="in_gsec">Inputs!$C$4</definedName>
    <definedName name="in_holdco">Inputs!$C$46</definedName>
    <definedName name="in_int">Inputs!$C$34</definedName>
    <definedName name="in_inv_g">Inputs!$C$38</definedName>
    <definedName name="in_jv0">Inputs!$C$28</definedName>
    <definedName name="in_jv_g">Inputs!$C$29</definedName>
    <definedName name="in_kd">Inputs!$C$12</definedName>
    <definedName name="in_mi">Inputs!$C$18</definedName>
    <definedName name="in_min_cash">Inputs!$C$10</definedName>
    <definedName name="in_mult">Inputs!$C$19</definedName>
    <definedName name="in_ngel_mcap">Inputs!$C$44</definedName>
    <definedName name="in_ngel_stake">Inputs!$C$45</definedName>
    <definedName name="in_oa">Inputs!$C$36</definedName>
    <definedName name="in_oi">Inputs!$C$30</definedName>
    <definedName name="in_ol">Inputs!$C$37</definedName>
    <definedName name="in_payout">Inputs!$C$35</definedName>
    <definedName name="in_pb_g">Inputs!$C$43</definedName>
    <definedName name="in_price">Inputs!$C$15</definedName>
    <definedName name="in_re_cost">Inputs!$C$22</definedName>
    <definedName name="in_re_cuf">Inputs!$C$23</definedName>
    <definedName name="in_re_margin">Inputs!$C$25</definedName>
    <definedName name="in_re_mw0">Inputs!$C$27</definedName>
    <definedName name="in_re_mw_prev">Inputs!$C$26</definedName>
    <definedName name="in_re_share">Inputs!$C$21</definedName>
    <definedName name="in_re_tariff">Inputs!$C$24</definedName>
    <definedName name="in_regeq0">Inputs!$C$40</definedName>
    <definedName name="in_regeq_prev">Inputs!$C$39</definedName>
    <definedName name="in_regshare">Inputs!$C$41</definedName>
    <definedName name="in_roe">Inputs!$C$42</definedName>
    <definedName name="in_ronic">Inputs!$C$14</definedName>
    <definedName name="in_shares">Inputs!$C$16</definedName>
    <definedName name="in_stub">Inputs!$C$8</definedName>
    <definedName name="in_tax">Inputs!$C$7</definedName>
    <definedName name="in_w_dcf">Inputs!$C$9</definedName>
    <definedName name="out_dcf_12m">DCF!$C$36</definedName>
    <definedName name="out_dcf_ps">DCF!$C$34</definedName>
    <definedName name="out_rating">DCF!$C$42</definedName>
    <definedName name="out_rel_ps">DCF!$C$38</definedName>
    <definedName name="out_sotp_ps">DCF!$C$39</definedName>
    <definedName name="out_tp">DCF!$C$40</definedName>
    <definedName name="out_upside">DCF!$C$41</definedName>
    <definedName name="wacc">DCF!$C$11</definedName>
  </definedNames>
  <calcPr calcId="124519" fullCalcOnLoad="1"/>
</workbook>
</file>

<file path=xl/sharedStrings.xml><?xml version="1.0" encoding="utf-8"?>
<sst xmlns="http://schemas.openxmlformats.org/spreadsheetml/2006/main" count="725" uniqueCount="531">
  <si>
    <t>NTPC Ltd - inputs (Rs crore)</t>
  </si>
  <si>
    <t>Input</t>
  </si>
  <si>
    <t>Value</t>
  </si>
  <si>
    <t>Source / rationale</t>
  </si>
  <si>
    <t>India 10Y G-sec yield</t>
  </si>
  <si>
    <t>Investing.com historical close, 14-Aug-2026</t>
  </si>
  <si>
    <t>Sovereign default spread</t>
  </si>
  <si>
    <t>Damodaran, Jan-2026 (Baa3)</t>
  </si>
  <si>
    <t>Equity risk premium (India, total)</t>
  </si>
  <si>
    <t>Damodaran, Jan-2026</t>
  </si>
  <si>
    <t>Tax rate</t>
  </si>
  <si>
    <t>New corporate regime, 25.17% rounded</t>
  </si>
  <si>
    <t>FY27 fraction remaining</t>
  </si>
  <si>
    <t>Valuation date 14-Aug-2026</t>
  </si>
  <si>
    <t>Weight on 12m DCF in target (non-regulated)</t>
  </si>
  <si>
    <t>Balance on FY27E EV/EBITDA</t>
  </si>
  <si>
    <t>Incremental cash floor</t>
  </si>
  <si>
    <t>Shortfalls drawn on a revolver</t>
  </si>
  <si>
    <t>Raw beta (2y weekly vs Nifty 50)</t>
  </si>
  <si>
    <t>Computed from NSE prices</t>
  </si>
  <si>
    <t>Pre-tax cost of debt</t>
  </si>
  <si>
    <t>AAA PSU</t>
  </si>
  <si>
    <t>Terminal growth</t>
  </si>
  <si>
    <t>Nominal INR</t>
  </si>
  <si>
    <t>Return on new invested capital (terminal)</t>
  </si>
  <si>
    <t>Share price (Rs)</t>
  </si>
  <si>
    <t>NSE close 2026-08-14</t>
  </si>
  <si>
    <t>Shares outstanding (crore)</t>
  </si>
  <si>
    <t>NSE / yfinance</t>
  </si>
  <si>
    <t>Cash &amp; short-term investments FY26</t>
  </si>
  <si>
    <t>FY26 balance sheet</t>
  </si>
  <si>
    <t>Minority interest FY26</t>
  </si>
  <si>
    <t>Peer median EV/EBITDA FY26A</t>
  </si>
  <si>
    <t>Peers: NHPC, SJVN, NLCINDIA, POWERGRID</t>
  </si>
  <si>
    <t>Capex execution vs guidance</t>
  </si>
  <si>
    <t>Q1FY27 call: group capex Rs 1,08,000 cr for FY27, Rs 5,97,000 cr over FY28-32 (Rs 1,19,400 cr/yr) and Rs 9,63,000 cr over FY33-37, mostly nuclear. FY26 actual was Rs 49,068 cr, so the step-up is haircut to 70%. FY33-36 is held at the FY28-32 run-rate because long-gestation nuclear capex adds little EBITDA in the horizon.</t>
  </si>
  <si>
    <t>RE share of assets commissioned</t>
  </si>
  <si>
    <t>Group RE 11,578 MW at Mar-26 (12,068 MW incl. 490 MW added in FY27, Q4FY26 call); NGEL generated 14.6 BU in FY26 (implied CUF ~18.5%) on TTM revenue of Rs 3,285 cr (~Rs 2.25/kWh). NGEL capex Rs 35,800 cr for ~8 GW (Rs 4.5 cr/MW); about half of group capex goes to RE (Q4FY26 call). At guided capex the model commissions ~7 GW of RE in FY27 vs 7-8 GW guided.</t>
  </si>
  <si>
    <t>RE cost (Rs cr per MW)</t>
  </si>
  <si>
    <t>RE capacity utilisation (CUF)</t>
  </si>
  <si>
    <t>RE tariff (Rs/kWh)</t>
  </si>
  <si>
    <t>RE EBITDA margin</t>
  </si>
  <si>
    <t>RE MW at FY25 (for FY26 calibration)</t>
  </si>
  <si>
    <t>RE MW at FY26</t>
  </si>
  <si>
    <t>NTPC: reported; others: FY26 RE commissioning / cost per MW</t>
  </si>
  <si>
    <t>Share of JV profit FY26</t>
  </si>
  <si>
    <t>Q4FY26 call</t>
  </si>
  <si>
    <t>JV profit growth</t>
  </si>
  <si>
    <t>Other income % of sales</t>
  </si>
  <si>
    <t>Depreciation % opening net block</t>
  </si>
  <si>
    <t>Capitalisation % of (CWIP + capex)</t>
  </si>
  <si>
    <t>New term debt % of capex</t>
  </si>
  <si>
    <t>Interest % average debt (and revolver)</t>
  </si>
  <si>
    <t>Dividend payout</t>
  </si>
  <si>
    <t>FY26 actual</t>
  </si>
  <si>
    <t>Other (non-cash) assets % of sales</t>
  </si>
  <si>
    <t>Other liabilities (ex minorities) % of sales</t>
  </si>
  <si>
    <t>Investments growth (cash)</t>
  </si>
  <si>
    <t>Regulated equity FY25</t>
  </si>
  <si>
    <t>Consolidated regulated equity Rs 1,20,319 cr at Mar-26 vs Rs 1,08,791 cr a year earlier (Q4FY26 call); regulated RoE 15.5% post-tax (CMD, Q1FY27).</t>
  </si>
  <si>
    <t>Regulated equity FY26</t>
  </si>
  <si>
    <t>Normative equity share of regulated capital</t>
  </si>
  <si>
    <t>CERC</t>
  </si>
  <si>
    <t>Earned RoE on regulated equity</t>
  </si>
  <si>
    <t>15.5% normative + net operational gains</t>
  </si>
  <si>
    <t>Regulated equity growth after FY36</t>
  </si>
  <si>
    <t>NTPC Green market cap</t>
  </si>
  <si>
    <t>NSE 2026-08-14</t>
  </si>
  <si>
    <t>NTPC stake in NTPC Green</t>
  </si>
  <si>
    <t>Jun-2026 shareholding</t>
  </si>
  <si>
    <t>Holding-company discount</t>
  </si>
  <si>
    <t>NTPC Ltd - consolidated model (Rs crore)</t>
  </si>
  <si>
    <t>FY22A</t>
  </si>
  <si>
    <t>FY23A</t>
  </si>
  <si>
    <t>FY24A</t>
  </si>
  <si>
    <t>FY25A</t>
  </si>
  <si>
    <t>FY26A</t>
  </si>
  <si>
    <t>FY27E</t>
  </si>
  <si>
    <t>FY28E</t>
  </si>
  <si>
    <t>FY29E</t>
  </si>
  <si>
    <t>FY30E</t>
  </si>
  <si>
    <t>FY31E</t>
  </si>
  <si>
    <t>FY32E</t>
  </si>
  <si>
    <t>FY33E</t>
  </si>
  <si>
    <t>FY34E</t>
  </si>
  <si>
    <t>FY35E</t>
  </si>
  <si>
    <t>FY36E</t>
  </si>
  <si>
    <t>Capex and commissioning</t>
  </si>
  <si>
    <t>EBITDA build</t>
  </si>
  <si>
    <t>Income statement</t>
  </si>
  <si>
    <t>Balance sheet</t>
  </si>
  <si>
    <t>Cash flow</t>
  </si>
  <si>
    <t>Ratios</t>
  </si>
  <si>
    <t>Capex guided (mgmt)</t>
  </si>
  <si>
    <t>Capex</t>
  </si>
  <si>
    <t>Assets commissioned (CWIP to block)</t>
  </si>
  <si>
    <t xml:space="preserve">  of which renewables</t>
  </si>
  <si>
    <t xml:space="preserve">  of which core / regulated</t>
  </si>
  <si>
    <t>Renewable capacity (MW)</t>
  </si>
  <si>
    <t>Renewable revenue</t>
  </si>
  <si>
    <t>Renewable EBITDA</t>
  </si>
  <si>
    <t>Regulated equity</t>
  </si>
  <si>
    <t>Regulated (core) EBITDA</t>
  </si>
  <si>
    <t>EBITDA</t>
  </si>
  <si>
    <t>EBITDA margin</t>
  </si>
  <si>
    <t>Revenue</t>
  </si>
  <si>
    <t>Other income</t>
  </si>
  <si>
    <t>Depreciation</t>
  </si>
  <si>
    <t>Interest (term debt + opening revolver)</t>
  </si>
  <si>
    <t>Profit before tax</t>
  </si>
  <si>
    <t>Tax</t>
  </si>
  <si>
    <t>Share of JV profit</t>
  </si>
  <si>
    <t>Net profit</t>
  </si>
  <si>
    <t>Minority share of profit</t>
  </si>
  <si>
    <t>Net profit to shareholders</t>
  </si>
  <si>
    <t>EPS (Rs)</t>
  </si>
  <si>
    <t>Dividends</t>
  </si>
  <si>
    <t>Net block</t>
  </si>
  <si>
    <t>Capital work in progress</t>
  </si>
  <si>
    <t>Investments</t>
  </si>
  <si>
    <t>Other assets (non-cash)</t>
  </si>
  <si>
    <t>Incremental cash (floor, see revolver)</t>
  </si>
  <si>
    <t>Total assets</t>
  </si>
  <si>
    <t>Equity capital</t>
  </si>
  <si>
    <t>Reserves</t>
  </si>
  <si>
    <t>Minority interest</t>
  </si>
  <si>
    <t>Borrowings (term)</t>
  </si>
  <si>
    <t>Revolver</t>
  </si>
  <si>
    <t>Other liabilities (ex minorities from FY26)</t>
  </si>
  <si>
    <t>Total liabilities &amp; equity</t>
  </si>
  <si>
    <t>Balance check (assets - liabilities)</t>
  </si>
  <si>
    <t>Increase in net working capital</t>
  </si>
  <si>
    <t>Cash from operations</t>
  </si>
  <si>
    <t>Cash from investing</t>
  </si>
  <si>
    <t>Term debt raised less dividends</t>
  </si>
  <si>
    <t>Cash before revolver</t>
  </si>
  <si>
    <t>Revolver draw / (repayment)</t>
  </si>
  <si>
    <t>Cash from financing</t>
  </si>
  <si>
    <t>Net debt / EBITDA</t>
  </si>
  <si>
    <t>Return on average equity</t>
  </si>
  <si>
    <t>NTPC Ltd - valuation</t>
  </si>
  <si>
    <t>Cost of capital</t>
  </si>
  <si>
    <t>Risk-free (INR, G-sec less default spread)</t>
  </si>
  <si>
    <t>Beta (Blume-adjusted)</t>
  </si>
  <si>
    <t>Cost of equity</t>
  </si>
  <si>
    <t>Post-tax cost of debt</t>
  </si>
  <si>
    <t>Borrowings FY26</t>
  </si>
  <si>
    <t>Market cap</t>
  </si>
  <si>
    <t>Debt weight</t>
  </si>
  <si>
    <t>WACC</t>
  </si>
  <si>
    <t>Free cash flow to firm</t>
  </si>
  <si>
    <t>NOPAT</t>
  </si>
  <si>
    <t>Increase in NWC</t>
  </si>
  <si>
    <t>FCFF</t>
  </si>
  <si>
    <t>FCFF (stub-adjusted)</t>
  </si>
  <si>
    <t>Discount period (yrs)</t>
  </si>
  <si>
    <t>Discount factor</t>
  </si>
  <si>
    <t>PV of FCFF</t>
  </si>
  <si>
    <t>PV of explicit FCFF</t>
  </si>
  <si>
    <t>Terminal value (value-driver)</t>
  </si>
  <si>
    <t>PV of terminal value</t>
  </si>
  <si>
    <t>Enterprise value</t>
  </si>
  <si>
    <t>Less: borrowings FY26</t>
  </si>
  <si>
    <t>Add: cash</t>
  </si>
  <si>
    <t>Add: investments (book)</t>
  </si>
  <si>
    <t>Less: minority interest</t>
  </si>
  <si>
    <t>Equity value today</t>
  </si>
  <si>
    <t>DCF value per share today (Rs)</t>
  </si>
  <si>
    <t>Terminal value share of EV</t>
  </si>
  <si>
    <t>DCF value in 12 months (grown at Ke, less FY27 DPS)</t>
  </si>
  <si>
    <t>Peer EV/EBITDA x FY27E EBITDA</t>
  </si>
  <si>
    <t>EV/EBITDA value in 12 months (Rs)</t>
  </si>
  <si>
    <t>SOTP value per share (Rs, regulated only)</t>
  </si>
  <si>
    <t>12-month target price (Rs)</t>
  </si>
  <si>
    <t>Upside / (downside)</t>
  </si>
  <si>
    <t>Rating</t>
  </si>
  <si>
    <t>DCF value per share today: WACC (rows) x terminal growth (cols)</t>
  </si>
  <si>
    <t>NTPC Ltd - sum of the parts at Mar-27</t>
  </si>
  <si>
    <t>Residual income on regulated equity</t>
  </si>
  <si>
    <t>t</t>
  </si>
  <si>
    <t>Regulated equity (closing)</t>
  </si>
  <si>
    <t>Residual income (RoE - Ke) x opening</t>
  </si>
  <si>
    <t>PV</t>
  </si>
  <si>
    <t>Regulated equity FY27E (book)</t>
  </si>
  <si>
    <t>PV of residual income FY28-FY36</t>
  </si>
  <si>
    <t>PV of terminal residual income</t>
  </si>
  <si>
    <t>Regulated equity value</t>
  </si>
  <si>
    <t>Implied P/B on FY27E regulated equity</t>
  </si>
  <si>
    <t>Equity in regulated CWIP at book</t>
  </si>
  <si>
    <t>NTPC Green stake at market less holdco discount</t>
  </si>
  <si>
    <t>Equity value</t>
  </si>
  <si>
    <t>SOTP value per share (Rs)</t>
  </si>
  <si>
    <t>JVs are not added: consolidated regulated equity already includes them.</t>
  </si>
  <si>
    <t>NTPC Ltd</t>
  </si>
  <si>
    <t>Current price (Rs)</t>
  </si>
  <si>
    <t>Upside</t>
  </si>
  <si>
    <t>SOTP value (Rs)</t>
  </si>
  <si>
    <t>DCF value today (Rs)</t>
  </si>
  <si>
    <t>DCF value in 12m (Rs)</t>
  </si>
  <si>
    <t>FY27E EV/EBITDA value (Rs)</t>
  </si>
  <si>
    <t>Method: sum of the parts; DCF and EV/EBITDA are cross-checks.</t>
  </si>
  <si>
    <t>Blue = input, black = formula. Change Inputs or the guided-capex row on Model.</t>
  </si>
  <si>
    <t>Prices as of 2026-08-14. Student research exercise, not investment advice.</t>
  </si>
  <si>
    <t>Listed power comps, FY26A</t>
  </si>
  <si>
    <t>Company</t>
  </si>
  <si>
    <t>Segment</t>
  </si>
  <si>
    <t>Mcap</t>
  </si>
  <si>
    <t>EV</t>
  </si>
  <si>
    <t>EV/EBITDA</t>
  </si>
  <si>
    <t>P/E</t>
  </si>
  <si>
    <t>P/B</t>
  </si>
  <si>
    <t>ROE</t>
  </si>
  <si>
    <t>ND/EBITDA</t>
  </si>
  <si>
    <t>Adani Power</t>
  </si>
  <si>
    <t>IPP / thermal</t>
  </si>
  <si>
    <t>Integrated / thermal-led</t>
  </si>
  <si>
    <t>Power Grid Corp</t>
  </si>
  <si>
    <t>Transmission / PSU</t>
  </si>
  <si>
    <t>Adani Green Energy</t>
  </si>
  <si>
    <t>Renewables</t>
  </si>
  <si>
    <t>Tata Power</t>
  </si>
  <si>
    <t>Integrated / private</t>
  </si>
  <si>
    <t>JSW Energy</t>
  </si>
  <si>
    <t>IPP / private</t>
  </si>
  <si>
    <t>NHPC</t>
  </si>
  <si>
    <t>Hydro / PSU</t>
  </si>
  <si>
    <t>Torrent Power</t>
  </si>
  <si>
    <t>NLC India</t>
  </si>
  <si>
    <t>Lignite-thermal / PSU</t>
  </si>
  <si>
    <t>SJVN</t>
  </si>
  <si>
    <t>CESC</t>
  </si>
  <si>
    <t>JP Power Ventures</t>
  </si>
  <si>
    <t>Reliance Power</t>
  </si>
  <si>
    <t>PTC India</t>
  </si>
  <si>
    <t>Power trading</t>
  </si>
  <si>
    <t>Management guidance extracted from earnings calls (NSE filings)</t>
  </si>
  <si>
    <t>Call</t>
  </si>
  <si>
    <t>Page</t>
  </si>
  <si>
    <t>Figures</t>
  </si>
  <si>
    <t>Sentence</t>
  </si>
  <si>
    <t>Q1FY27</t>
  </si>
  <si>
    <t>20%; 21%</t>
  </si>
  <si>
    <t>And our share of electricity, which is around 20%, 21%, is increasing, and in coming days it will be much higher, which is giving a lot of confidence that we will be growing at a much faster rate.</t>
  </si>
  <si>
    <t>1,08,000 crore</t>
  </si>
  <si>
    <t>Group-level capex is INR1,08,000 crores estimates.</t>
  </si>
  <si>
    <t>9,63,000 crore</t>
  </si>
  <si>
    <t>We'll see a major shift towards nuclear power as well, while continuing with the RE project as well, with an approximately INR9,63,000 crores as capex.</t>
  </si>
  <si>
    <t>17 lakh crore</t>
  </si>
  <si>
    <t>So, the total capex envisaged is INR17 lakh crores, as CMD sir was mentioning, over the next 11 years, that is up to financial year 37.</t>
  </si>
  <si>
    <t>60 gigawatt; 136 gigawatt</t>
  </si>
  <si>
    <t>Our renewable portfolio is targeted to reach 60 gigawatts by FY32 and expand further to 136 gigawatts by FY37.</t>
  </si>
  <si>
    <t>4.2 gigawatt; 7 gigawatt; 8 gigawatt</t>
  </si>
  <si>
    <t>During FY26, we have added around 4.2 gigawatt, and further, subject to transmission infrastructure, we are targeting to add another 7 gigawatts to 8 gigawatts for the renewable capacity in FY27.</t>
  </si>
  <si>
    <t>1.8 gigawatt</t>
  </si>
  <si>
    <t>A further 1.8 gigawatt-hours of BESS projects are under planning to strengthen our near-term storage portfolio.</t>
  </si>
  <si>
    <t>30.4 gigawatt; 18.6 gigawatt</t>
  </si>
  <si>
    <t>Beyond this, NTPC is developing a substantial non-solar hour BESS pipeline of 30.4 gigawatt-hours, of which 18.6 gigawatt-hours have already been tendered.</t>
  </si>
  <si>
    <t>30 gigawatt</t>
  </si>
  <si>
    <t>Coming to newer frontiers, steps being undertaken on the nuclear front, we have an ambitious goal of installing 30 gigawatts of nuclear capacity by FY47.</t>
  </si>
  <si>
    <t>13.2 gigawatt; 5 gigawatt; 6 gigawatt</t>
  </si>
  <si>
    <t>We have been allocated 13.2 gigawatt of PSP project across Tamil Nadu, Maharashtra, Chhattisgarh, Madhya Pradesh, and Odisha, and we aim to commission 3 to 5 gigawatt of capacity by FY33 and nearly 6 gigawatt by FY2037.</t>
  </si>
  <si>
    <t>1 lakh crore</t>
  </si>
  <si>
    <t>Spread across 1,200 acres with an envisaged investment of around INR 1 lakh crores, the project will create an integrated ecosystem encompassing hydrogen production, derivative manufacturing, and export infrastructure, producing green chemicals such as green methanol, ammonia, ethanol, sustainable aviation fuel, and green urea.</t>
  </si>
  <si>
    <t>250 gigawatt</t>
  </si>
  <si>
    <t>As we lead India's energy transition, we are balancing growth with sustainability, innovation with reliability, and ambition with disciplined execution, with a clear path to 250 gigawatt by FY37 and a diversified portfolio spanning conventional, renewable, nuclear, and emerging energy businesses.</t>
  </si>
  <si>
    <t>9.6 gigawatt</t>
  </si>
  <si>
    <t>CMD: But at the same time, it was also said that most of the generation, like this out of the 9.6 gigawatt, the maximum was commissioned was renewable.</t>
  </si>
  <si>
    <t>32 gigawatt; 97 gigawatt</t>
  </si>
  <si>
    <t>So as of now, what we have planned is for the last 30 to 32 gigawatt, our group coal capacity, will go up to almost around 97 gigawatt.</t>
  </si>
  <si>
    <t>4 gigawatt; 5 gigawatt</t>
  </si>
  <si>
    <t>Participant: So my question was, given the technology challenges in nuclear, do you think you'll be able to build a pipeline of 4 gigawatt to 5 gigawatt over next two to three years, given the RE.</t>
  </si>
  <si>
    <t>7 gigawatt</t>
  </si>
  <si>
    <t>This year we have capacity target addition of 7 gigawatt.</t>
  </si>
  <si>
    <t>And as sir has rightly said, the target is 30 gigawatt.</t>
  </si>
  <si>
    <t>5 gigawatt</t>
  </si>
  <si>
    <t>We have heard about NTPC looking to co-locate 5 gigawatt hour of BESS projects at thermal power plants.</t>
  </si>
  <si>
    <t>55%</t>
  </si>
  <si>
    <t>At least the coal-based plants can come up to technical minimum, which is 55%.</t>
  </si>
  <si>
    <t>13 gigawatt</t>
  </si>
  <si>
    <t>And for the 13 gigawatts of coal capacity addition being planned, I mean, how does NTPC see its share in coal capacity addition?</t>
  </si>
  <si>
    <t>77 gigawatt</t>
  </si>
  <si>
    <t>It will go up to 77 gigawatts as per the plan.</t>
  </si>
  <si>
    <t>17 gigawatt; 91 gigawatt</t>
  </si>
  <si>
    <t>We have a 17 gigawatt in the pipeline, which would at then go reach 91 gigawatts.</t>
  </si>
  <si>
    <t>36%; 40%</t>
  </si>
  <si>
    <t>Director (Finance): It will be hovering around 36% to 40%.</t>
  </si>
  <si>
    <t>Participant: And sir, just on this renewable 7 gigawatt whatever we are planning, how much of that do we have transmission facility so that we will get a realistic approach … CMD: If we don't have the transmission facility then we are not able to commission.</t>
  </si>
  <si>
    <t>Participant: So, you're confident these 7 gigawatts are kind of an achievable target?</t>
  </si>
  <si>
    <t>15.50%; 12%; 13%</t>
  </si>
  <si>
    <t>So, we are quite happy to make the return, what is regulated return, which is at the end when it is commissioned after that it is around 15.50%, which in nutshell is around between 12% to 13%, which is a healthy kind of return which is sustainable.</t>
  </si>
  <si>
    <t>25%</t>
  </si>
  <si>
    <t>So, as I explained that there is a huge growth which is happening, and there is no reason that we will be left behind to maintain our market share of around 25%.</t>
  </si>
  <si>
    <t>5,97,000 crore; 60 gigawatt</t>
  </si>
  <si>
    <t>In the second phasing, comprising five years from FY28 to FY32, total capex would be INR5,97,000 crores, driven primarily by renewable energy projects as we move towards our goal of becoming a 60 gigawatt company in the renewable space.</t>
  </si>
  <si>
    <t>There will be lot of pump storage, in that pump storage 25% power is wasted.</t>
  </si>
  <si>
    <t>93%; 58%</t>
  </si>
  <si>
    <t>In the process, the share of fossil-based generation would have declined from 93% to 58%, which augurs quite well with our larger national goal of achieving net zero by 2070.</t>
  </si>
  <si>
    <t>9%</t>
  </si>
  <si>
    <t>This transformation is expected to be driven by a sustained 9% CAGR supported by India's favourable demographic profile, abundant renewable energy potential, and continued investment in infrastructure and industrial development.</t>
  </si>
  <si>
    <t>7%; 943 billion units; 4.00%; 33%</t>
  </si>
  <si>
    <t>In billion unit terms, while the overall generation will grow by nearly 7% to reach 943 billion units by FY37, the share of renewable energy is expected to increase from the current 4.00% to nearly 33% by FY37.</t>
  </si>
  <si>
    <t>9.6 gigawatt; 60%</t>
  </si>
  <si>
    <t>During the last financial year, as you all will be knowing, we had added the ever-highest capacity, which is 9.6 gigawatt, with nearly 60% addition coming from the renewable energy sources.</t>
  </si>
  <si>
    <t>1,350 megawatt</t>
  </si>
  <si>
    <t>We have acquired, along with Mahagenco, Sinnar thermal power station, which is 1,350 megawatt, and we are putting best efforts to commission one unit in this calendar year and then one after the other.</t>
  </si>
  <si>
    <t>1,000 megawatt</t>
  </si>
  <si>
    <t>All of you know that THDC has commissioned its storage plant, 1,000 megawatt pump storage plant.</t>
  </si>
  <si>
    <t>270 gigawatt</t>
  </si>
  <si>
    <t>Peak demand, as all of you know that it has already crossed 270 gigawatt, and as per the projections, I think we will be having around 450 plus by financial year 2036.</t>
  </si>
  <si>
    <t>37 gigawatt; 12 gigawatt</t>
  </si>
  <si>
    <t>Our present pipeline is around 37 gigawatt, which is under construction, and another around 12 gigawatt under tendering stage.</t>
  </si>
  <si>
    <t>And we intend to take our coal production to a level where we can meet around 25% in next 3 to 4 years.</t>
  </si>
  <si>
    <t>28,462 crore; 22,965 crore</t>
  </si>
  <si>
    <t>And on standalone, capex was INR 28,462 crore as compared to INR 22,965 crores in the previous year.</t>
  </si>
  <si>
    <t>149 gigawatt; 16.8 lakh crore</t>
  </si>
  <si>
    <t>One of the most important thing which I would like to share, considering the revised capacity addition target, which is around 149 gigawatt by 2032, but if we consider around FY37, so almost in the next 10 years, estimate is that we are going to incur around 16.8 lakh crores.</t>
  </si>
  <si>
    <t>6.4%</t>
  </si>
  <si>
    <t>Beginning with Indian economy and the structural outlook, India continues to be the fastest- growing major economy, with IMF projecting GDP growth of 6.4% in 2026, well above all G7 nations and key BRICS member countries.</t>
  </si>
  <si>
    <t>7.7%; 6.2%</t>
  </si>
  <si>
    <t>The economy also outperformed expectations in 2025 calendar, recording 7.7% growth against the IMF estimates of 6.2%.</t>
  </si>
  <si>
    <t>700 megawatt</t>
  </si>
  <si>
    <t>Ashvini is our joint venture with NPCIL for 4x700 megawatt nuclear power plant.</t>
  </si>
  <si>
    <t>78%; 29%</t>
  </si>
  <si>
    <t>In generation terms, share of non-fossil sources would be 78% by 2050 from 29% as of FY26.</t>
  </si>
  <si>
    <t>18%; 25%</t>
  </si>
  <si>
    <t>Presently, 18% of our coal requirement is met through our captive coal mines, which would go up to 25% fulfilment through captive mining by FY30, thus enhancing the fuel security and supply reliability.</t>
  </si>
  <si>
    <t>82%; 56%; 39%</t>
  </si>
  <si>
    <t>With renewable energy driving a significant share of this expansion, as you can see, the share of fossil fuel-based capacity is expected to gradually decline from 82% today to 56% by FY32 and further to 39% by 2037.</t>
  </si>
  <si>
    <t>98%</t>
  </si>
  <si>
    <t>Going further, by 2070, non-fossil sources are expected to account for nearly 98% of installed capacity.</t>
  </si>
  <si>
    <t>150 gigawatt; 250 gigawatt</t>
  </si>
  <si>
    <t>Guided by our new corporate plan, NTPC is charting an ambitious growth trajectory, targeting a capacity portfolio of 150 gigawatts by FY32 and on to 250 gigawatts by FY37.</t>
  </si>
  <si>
    <t>70 megawatt</t>
  </si>
  <si>
    <t>First phase of the project is under development, and second phase of 70 megawatt is under planning.</t>
  </si>
  <si>
    <t>50 megawatt</t>
  </si>
  <si>
    <t>First solar project, 50 megawatt under construction in Sri Lanka through a 50-50 joint venture with Electricity Generation Lanka Private Limited.</t>
  </si>
  <si>
    <t>90 gigawatt; 35.7 gigawatt</t>
  </si>
  <si>
    <t>NTPC group currently operates over 90 gigawatt of commercial capacity, while another 35.7 gigawatt is under construction, underscoring the scale of its growth ambitions.</t>
  </si>
  <si>
    <t>6%</t>
  </si>
  <si>
    <t>As per NITI Aayog, per capita electricity consumption is expected to nearly grow by a CAGR of 6% to 6,400 units by 2050 and further to 10,000 units by 2070, aligning it to the then global average.</t>
  </si>
  <si>
    <t>245 gigawatt; 750 gigawatt; 1,200 gigawatt; 271 gigawatt</t>
  </si>
  <si>
    <t>Correspondingly, peak demand is expected to rise from 245 gigawatt in FY26 to 750 gigawatt by FY50 and further on to 1,200 gigawatt by FY70, with demand already touching a record 271 gigawatt in May 2026.</t>
  </si>
  <si>
    <t>1,708 billion units; 8,100 billion units; 13,000 billion units</t>
  </si>
  <si>
    <t>India's electricity requirement is projected to grow from 1,708 billion units in FY26 to 8,100 billion units by FY50 and further to 13,000 billion units by FY70.</t>
  </si>
  <si>
    <t>50%</t>
  </si>
  <si>
    <t>India further achieved the milestone of 50% cumulative installed capacity from non-fossil fuel source in June 2025, five years ahead of its target set by its Nationally Determined Contribution to Paris Agreement commitment.</t>
  </si>
  <si>
    <t>Q4FY26</t>
  </si>
  <si>
    <t>60 GW</t>
  </si>
  <si>
    <t>So our idea would be to steeply increase it so that we fulfil our target of 60 GW much ahead of what we are planning by 2032.</t>
  </si>
  <si>
    <t>32 GW; 30 GW</t>
  </si>
  <si>
    <t>When compared to previous quarter, the full pipeline, I think, has reduced from 32 GW to 30 GW.</t>
  </si>
  <si>
    <t>88%; 3%; 9%</t>
  </si>
  <si>
    <t>As far as FY28 is concerned, whatever CODs are expected in FY28, we have a projected firm connectivity of 88% and 3% would be coming from the T-GNA, remaining 9% is something which we are yet to tie-up.</t>
  </si>
  <si>
    <t>85%; 100%; 55%</t>
  </si>
  <si>
    <t>if I have declared a certain capacity higher than the technical minimum or let us say 85% or 100% and the scheduling comes below 55% for some reason, I'm not obliged to run this plant, I can take a reserve shutdown and whatever is the comfortable time required for ramping up it later on, I'll do that.</t>
  </si>
  <si>
    <t>18,010 MW</t>
  </si>
  <si>
    <t>So that puts the NTPC Group broad plan at 18,010 MW.</t>
  </si>
  <si>
    <t>3 GW; 5 GW</t>
  </si>
  <si>
    <t>Another 3 GW to 5 GW, you can expect to be commercialized by 2032 to '33.</t>
  </si>
  <si>
    <t>So you can expect some 3 GW to 5 GW completion, we have the target in the next 7 years.</t>
  </si>
  <si>
    <t>1,000 MW</t>
  </si>
  <si>
    <t>And co-located with solar projects, it will be 1,000 MW, which is under tendering right now.</t>
  </si>
  <si>
    <t>6,22,000 crore; 3 lakh crore</t>
  </si>
  <si>
    <t>We have a broad capex for the group of INR6,22,000 crores till the financial '32 and we have allocated roughly half of that, around INR3 lakh crores for renewable energy, which should broadly be done by NGEL.</t>
  </si>
  <si>
    <t>35,800 crore</t>
  </si>
  <si>
    <t>For NGEL, for current year it would be capex of INR35,800 crores.</t>
  </si>
  <si>
    <t>46,000 crore; 48,000 crore</t>
  </si>
  <si>
    <t>Next year, it would be INR46,000 crores and the year next, it would be INR48,000 crores.</t>
  </si>
  <si>
    <t>1.5 GW</t>
  </si>
  <si>
    <t>Sir, I wanted to know, do we have any plans of doing battery storage in existing renewable projects, co-location of battery storage and the second question was regarding the 1.5 GW renewable project that we are planning to do in NTPC Rajasthan Green Energy Limited, what's the update on that and when can we expect that project to be completed?</t>
  </si>
  <si>
    <t>4 GW</t>
  </si>
  <si>
    <t>But there are around 4 GW more, which is under planning stage right now, which would be at Khavda, it would be Bikaner, Fatehgarh, Sitapur and one which is Chhattisgarh.</t>
  </si>
  <si>
    <t>14.5 GW</t>
  </si>
  <si>
    <t>We are in addition, application for non-solar connectivity of 14.5 GW has been applied and BESS of 2- to 4-hour capacity, which is under initial stages of planning right now.</t>
  </si>
  <si>
    <t>5 GW</t>
  </si>
  <si>
    <t>Management: See, first thing is it was not FY27, it was FY26 that we were planning around 5 GW, and some of the units spilled over to the next year or we expect it to spill over.</t>
  </si>
  <si>
    <t>8 GW</t>
  </si>
  <si>
    <t>And right now, we are planning an average of 8 GW per annum.</t>
  </si>
  <si>
    <t>660 MW</t>
  </si>
  <si>
    <t>And this would broadly come from , 660 MW will come from TTPS Stage 3 Unit 1 we are expecting in Q3.</t>
  </si>
  <si>
    <t>3.4 GW</t>
  </si>
  <si>
    <t>And if you can also add that beyond this, I mean, are you seeing further growth drivers in the pipeline, which is currently a capacity under pipeline with 3.4 GW.</t>
  </si>
  <si>
    <t>34 GW; 16.5 GW; 2.6 GW; 15 GW</t>
  </si>
  <si>
    <t>NTPC Group currently has over 34 GW of capacity under construction, comprising 16.5 GW of coal-based capacity, about 2.6 GW of hydro capacity and 15 GW of renewable energy capacity providing a strong foundation for near- to medium-term growth.</t>
  </si>
  <si>
    <t>270 MW; 810 MW</t>
  </si>
  <si>
    <t>And we are expecting the Sinnar thermal , Unit 3 in Q2 and Unit 4 and 5 in the Quarter 3, 3 Units of 270 MW each, , which we'll be adding in the next fiscal year, 810 MW.</t>
  </si>
  <si>
    <t>20,000 crore; 60 GW</t>
  </si>
  <si>
    <t>Government of India enhanced investment approval limit for renewable subsidiaries up to INR20,000 crores, supporting NTPC's target of 60 GW renewable capacity by 2032.</t>
  </si>
  <si>
    <t>320 MW</t>
  </si>
  <si>
    <t>Additionally, 320 MWh BESS is being executed by NGEL and further capacities are also under pipeline.</t>
  </si>
  <si>
    <t>49,068 crore; 44,636 crore</t>
  </si>
  <si>
    <t>In FY26, we have incurred a group capex of INR49,068 crores as compared to INR44,636 crores in the previous year.</t>
  </si>
  <si>
    <t>While on the stand-alone basis, NTPC has incurred capex of INR28,462 crores in FY26 as compared to INR22,965 crores in the previous year.</t>
  </si>
  <si>
    <t>4,04,210 crore; 4,70,618 crore; 16%</t>
  </si>
  <si>
    <t>The gross property, plant and machinery as on 31st March 2026 on group level has increased from INR4,04,210 crores to INR4,70,618 crores during last 1 year, an increase of 16%.</t>
  </si>
  <si>
    <t>86 GW; 68 GW</t>
  </si>
  <si>
    <t>NTPC Limited May 23, 2026 Page 4 of 17 As per the latest CEA estimates, the additional coal capacity requirement till 2036 is projected to be 86 GW, of which 68 GW is in pipeline.</t>
  </si>
  <si>
    <t>In the Renewables segment, we are planning to add around 8 GW capacity.</t>
  </si>
  <si>
    <t>1,070 MW; 250 MW; 8,237 MW</t>
  </si>
  <si>
    <t>If I break down it into thermal, hydro and renewable, thermal would constitute 1,070 MW, hydro will be 250 MW, and renewable total would be 8,237 MW.</t>
  </si>
  <si>
    <t>10,039 MW; 1,460 MW; 444 MW; 8,135 MW</t>
  </si>
  <si>
    <t>The year next, FY28, the total plant capacity addition is 10,039 MW, comprising of thermal 1,460 MW, hydro total will be 444 MW and renewable total will be 8,135 MW.</t>
  </si>
  <si>
    <t>800 MW</t>
  </si>
  <si>
    <t>Patratu Unit 3 in the quarter 1, will be 800 MW.</t>
  </si>
  <si>
    <t>444 MW</t>
  </si>
  <si>
    <t>Hydro, we are expecting Vishnugad Pipalkoti of the THDC, 444 MW.</t>
  </si>
  <si>
    <t>11,478 MW</t>
  </si>
  <si>
    <t>In a similar way for FY29, we are planning 11,478 MW total capacity.</t>
  </si>
  <si>
    <t>9,557 MW</t>
  </si>
  <si>
    <t>See, as far as FY27 is concerned, on a totality basis, we are planning around 9,557 MW of capacity.</t>
  </si>
  <si>
    <t>Q3FY26</t>
  </si>
  <si>
    <t>550 MW</t>
  </si>
  <si>
    <t>In addition to that, we have from our Ayana platform also 500 to 550 MW, which is in advanced stage of commissioning.</t>
  </si>
  <si>
    <t>2.5 GW; 8 GW</t>
  </si>
  <si>
    <t>And sir, secondly, on NGEL, I just wanted to understand, so you're looking at 2.5 GW in the next 2 months and 8 GW, just next year, just how -- are you looking at right of way connectivity?</t>
  </si>
  <si>
    <t>2.5 GW; 2.5 GW</t>
  </si>
  <si>
    <t>So these are -- you have a very high reasonable surety that these plants have connectivity commissioned and that we will be able to commission 2.5 GW in the next 2 months, just the level of confidence you have for these 2.5 GW in the next 2 months?</t>
  </si>
  <si>
    <t>20 GW; 75%</t>
  </si>
  <si>
    <t>Sarit was explaining around 20 GW that we are targeting over the next 3 years, the entire PPA -- the PPA up to 75% is in place.</t>
  </si>
  <si>
    <t>2.5 GW</t>
  </si>
  <si>
    <t>But in terms of connectivity, the energizing of the plant and the connectivity being available, this would be contingent on connectivity being there, right, the 2.5 GW.</t>
  </si>
  <si>
    <t>300 MW; 200 MW</t>
  </si>
  <si>
    <t>we have already commissioned at Bhadla 300 MW, so every system over there is also charged and the balance 200 MW, we will bring there also.</t>
  </si>
  <si>
    <t>1,200 MW</t>
  </si>
  <si>
    <t>So this gives a very clear 1,200 MW, which is very much ready and can be commissioned within the next 1 to 1.5 months only.</t>
  </si>
  <si>
    <t>2,780 MW</t>
  </si>
  <si>
    <t>As far as thermal for the current year is concerned, see, as you know that we already -- in my opening statement, we have said that how much is the actual that has been commissioned till 31st Dec 2025, 2,780 MW is already commissioned.</t>
  </si>
  <si>
    <t>150 MW</t>
  </si>
  <si>
    <t>And from Dayapar, we are also targeting around 150 MW.</t>
  </si>
  <si>
    <t>250 MW</t>
  </si>
  <si>
    <t>In addition, there is one more plant, as I explained before, also, Kalasar, which is 250 MW.</t>
  </si>
  <si>
    <t>6,500 MW; 2,120 MW; 1320 MW; 800 MW</t>
  </si>
  <si>
    <t>Management Over the next 3-year period, 6,500 MW would be added, 2,780 during the current year; next year, it is 2 units of 800, 1,600; and the year next, it would be 2,120 MW, this is coming from TTPS Stage 3 1320 MW and Lara -Stage 2, this is 800 MW.</t>
  </si>
  <si>
    <t>4 gigawatt; 1,600 MW</t>
  </si>
  <si>
    <t>Management: Next year, we are looking at an award of 4 gigawatt that will be Lara-2 1,600 MW.</t>
  </si>
  <si>
    <t>The next financial year, we are planning Talcher thermal-based extension of another 800 MW at this instance.</t>
  </si>
  <si>
    <t>And likewise, for FY '28 also, we are targeting 8 GW of capacity addition.</t>
  </si>
  <si>
    <t>82%</t>
  </si>
  <si>
    <t>In FY '26, the capacities that we will now be adding will be -- is almost 82% PPA tied.</t>
  </si>
  <si>
    <t>11%; 12%</t>
  </si>
  <si>
    <t>I'm saying the green ammonia project that we won, could you please clarify outside in the bids look aggressive to us, so I wanted to check, does the project meet our return threshold of 11%, 12% for higher equity IRR or are there any plans to reconsider that green ammonia project?</t>
  </si>
  <si>
    <t>CEO NGEL Our plan as of now for FY '27 is 8 GW.</t>
  </si>
  <si>
    <t>The third unit of Tehri pumped storage project has been commissioned and the final unit of 250 MW is scheduled to be commissioned before the end of the current financial year.</t>
  </si>
  <si>
    <t>2,500 MW</t>
  </si>
  <si>
    <t>So as I told you, for the balance one also around 2,500 MW is on target.</t>
  </si>
  <si>
    <t>33,466 crore; 30,779 crore</t>
  </si>
  <si>
    <t>As regards capex in the 9 months FY '26, we have incurred a group capex of INR33,466 crores as compared to INR30,779 crores in the corresponding previous period.</t>
  </si>
  <si>
    <t>19,439 crore; 17,853 crore</t>
  </si>
  <si>
    <t>While on a standalone basis, NTPC has incurred a capex of INR19,439 crores in 9 months FY '26 as compared to INR17,853 crores in the corresponding previous year period.</t>
  </si>
  <si>
    <t>67,323 crore; 4,54,223 crore; 17.4%</t>
  </si>
  <si>
    <t>The gross property, plant and machinery as on 31st December 2025 on a group level has increased by INR67,323 crores to INR4,54,223 crores during last 1 year, an increase of 17.4%.</t>
  </si>
  <si>
    <t>11,653 crore; 7,261 crore</t>
  </si>
  <si>
    <t>Consolidated capex during 9 months FY '26 stood at INR11,653 crores compared to INR7,261 crores in the corresponding period last year.</t>
  </si>
  <si>
    <t>5,000 MW</t>
  </si>
  <si>
    <t>In addition, as highlighted in the previous con call, we are in the final stage of evaluation of a tender for 5,000 MWh of BESS capacity at 16 NTPC power stations under Section 62 with commissioning expected within 18 months.</t>
  </si>
  <si>
    <t>3.7 MW</t>
  </si>
  <si>
    <t>We have also commissioned 3.7 MW solar project at Chushul, which is in Ladakh, which is designed for providing 24X7 carbon-free electricity to the Indian Army.</t>
  </si>
  <si>
    <t>13 GW</t>
  </si>
  <si>
    <t>Further preliminary studies are underway for pumped storage projects aggregating to around 13 GW allocated by state governments, which will be executed through group companies of NTPC.</t>
  </si>
  <si>
    <t>5,200 MW</t>
  </si>
  <si>
    <t>CEO NGEL See, as far as our capacity addition plan for this year was concerned, we had promised that we would be doing around 5,200 MW on a year-on-year basis.</t>
  </si>
  <si>
    <t>1,000 MW; 200 MW; 250 MW; 300 MW; 550 MW</t>
  </si>
  <si>
    <t>We are going to add around 1,000 MW more at Khavda, 200 MW more at Bhadla and 250 MW at Kalasar, together around 300 MW of wind will come from our Gujarat plants and also around 500 to 550 MW will be coming from our Ayana portfolio.</t>
  </si>
  <si>
    <t>So the capacity addition plan is very much on track, and we would be touching our 5 GW target.</t>
  </si>
  <si>
    <t>4,400 MW</t>
  </si>
  <si>
    <t>2,300 to 2,400 can be done in next 2 months that will be 4,400 MW?</t>
  </si>
  <si>
    <t>33 GW; 16.5 GW; 1.9 GW; 15 GW</t>
  </si>
  <si>
    <t>We have over 33 GW of capacity under construction comprising 16.5 GW of coal-based capacity, about 1.9 GW of hydro and around 15 GW of renewable energy, and this is providing a solid foundation for near- to medium-term growth.</t>
  </si>
  <si>
    <t>Q2FY26</t>
  </si>
  <si>
    <t>33 GW</t>
  </si>
  <si>
    <t>Management: We have under construction capacity of around 33 GW.</t>
  </si>
  <si>
    <t>24,000 crore</t>
  </si>
  <si>
    <t>Sir, we plan to spend ₹24,000 crore in the next six months at NTPC Green.</t>
  </si>
  <si>
    <t>9 GW</t>
  </si>
  <si>
    <t>Around 9 GW, the pipeline which is not signed PPA.</t>
  </si>
  <si>
    <t>244 GW</t>
  </si>
  <si>
    <t>You mentioned 244 GW of capacity target, that was 2047?</t>
  </si>
  <si>
    <t>140 GW</t>
  </si>
  <si>
    <t>And renewable, we are targeting a substantial amount, almost double, close to 130 to 140 GW.</t>
  </si>
  <si>
    <t>17 GW; 2 GW</t>
  </si>
  <si>
    <t>You have a capacity under construction in thermal of 17 GW and hydro of 2 GW.</t>
  </si>
  <si>
    <t>444 MW; 0.44 GW</t>
  </si>
  <si>
    <t>Next year, there won't be any COD achievement, but next year it will be 444 MW or 0.44 GW.</t>
  </si>
  <si>
    <t>6 GW; 8 GW</t>
  </si>
  <si>
    <t>We can give you a COD guidance of this, which we had already, at the cost of repetition, let me say, that broadly is 6 GW during the current year and 8 GW each in the next two years.</t>
  </si>
  <si>
    <t>2780 MW; 1600 MW; 2120 MW</t>
  </si>
  <si>
    <t>Thermal is 2780 MW during the current year, 1600 MW in the next year and 2120 MW during FY28.</t>
  </si>
  <si>
    <t>1,16,000 crore</t>
  </si>
  <si>
    <t>Rajesh Majumdar: Sir, the last question is that regulated equity as of 30 September is ₹1,16,000 crore, what is the targeted regulated equity as of FY28?</t>
  </si>
  <si>
    <t>400 MW</t>
  </si>
  <si>
    <t>We were targeting another 300 to 400 MW more in Khavda, which got slipped, which we will make it up in the second half.</t>
  </si>
  <si>
    <t>2 GW; 1.7 GW</t>
  </si>
  <si>
    <t>Traditionally in the third quarter and the fourth quarter because it is the fair weather season everywhere, so, we are targeting around 2 GW in the third quarter and another 1.7 GW in the fourth quarter.</t>
  </si>
  <si>
    <t>700 MW; 2800 MW</t>
  </si>
  <si>
    <t>Management: This will be four units of 700 MW, constituting 2800 MW.</t>
  </si>
  <si>
    <t>30,000 crore</t>
  </si>
  <si>
    <t>Management: In the financial year 2025-26, we are going to incur a capex of around ₹30,000 crore, which will be financed through debt and equity.</t>
  </si>
  <si>
    <t>20 crore</t>
  </si>
  <si>
    <t>Management: For Mahi Banswara, the cost will be around ₹20 crore per MW.</t>
  </si>
  <si>
    <t>625 crore; 250 crore</t>
  </si>
  <si>
    <t>Based on the questions raised by the investors during the earlier con calls, I would like to inform that the fixed costs under recoveries till September 2025 is ₹625 crore and we expect this number to be around ₹250 crore by the end of the year.</t>
  </si>
  <si>
    <t>130 GW; 149 GW; 244 GW</t>
  </si>
  <si>
    <t>NTPC Limited October 30, 2025 Page 8 of 18 As highlighted during annual investor meet, we have revised our capacity addition target from existing 130 GW to 149 GW by 2032 and 244 GW by 2037.</t>
  </si>
  <si>
    <t>2.4 GW</t>
  </si>
  <si>
    <t>Then coming to next financial year, we are planning 2.4 GW.</t>
  </si>
  <si>
    <t>23,115 crore; 17,474 crore; 14,149 crore; 14,040 crore</t>
  </si>
  <si>
    <t>As regards capital expenditure, in H1 FY26 we have incurred a group CAPEX of ₹23,115 crore as compared to ₹17,474 crore in the corresponding previous period, while on a standalone basis NTPC has incurred a CAPEX of ₹14,149 crore in H1 FY26 as compared to ₹14,040 crore in the corresponding previous period.</t>
  </si>
  <si>
    <t>54,336 crore; 4,37,142 crore; 14%</t>
  </si>
  <si>
    <t>The Gross Property, Plant and equipment (PPE) as on 30 September 2025 on the group level has increased by ₹54,336 crore to ₹4,37,142 crore during last one year, an increase of 14%.</t>
  </si>
  <si>
    <t>6,607 crore; 4,884 crore</t>
  </si>
  <si>
    <t>During the six months ended 30 September 2025, NGEL and its subsidiaries incurred a consolidated capex of ₹6,607 crore, substantially higher than ₹4,884 crore spent during the six months ended 30 September 2024.</t>
  </si>
  <si>
    <t>6.5%; 7%</t>
  </si>
  <si>
    <t>With GDP projected to grow between 6.5% to 7% in the coming years, electricity demand is expected to rise steadily, led by manufacturing and expanding digital infrastructure.</t>
  </si>
  <si>
    <t>21 GW; 250 megawatt</t>
  </si>
  <si>
    <t>Out of the 21 GW of PSPs we are pursuing on different fronts, we have commissioned two units of 250 megawatt each at Tehri Pumped Storage Project in H1 FY26 and we expect to commission remaining two units in the current fiscal.</t>
  </si>
  <si>
    <t>7 lakh crore</t>
  </si>
  <si>
    <t>Accordingly, the estimated capital expenditure requirement is 7 lakh crore by 2032.</t>
  </si>
  <si>
    <t>33 GW; 17 GW; 2 GW; 14 GW</t>
  </si>
  <si>
    <t>Our current capacity under construction stands at 33 GW consisting of 17 GW coal, 2 GW hydro and 14 GW renewable.</t>
  </si>
  <si>
    <t>At the same time, NGEL is driving expeditious execution of renewable projects to ensure capacity ramp up, supporting our goal of achieving 60 GW of RE capacity by FY32.</t>
  </si>
  <si>
    <t>11.8 GW</t>
  </si>
  <si>
    <t>Are you on track to meet the capacity target of 11.8 GW in FY26 or do you think there could be some miss?</t>
  </si>
  <si>
    <t>2019 MW; 7825 MW; 9844 MW</t>
  </si>
  <si>
    <t>In fact, for FY26, we have a target of 2019 MW on a standalone basis and 7825 MW for JVs and subsidiaries, both totaling to 9844 MW.</t>
  </si>
  <si>
    <t>5000 MW</t>
  </si>
  <si>
    <t>Located at NTPC coal plants, 5000 MW will be regulated.</t>
  </si>
  <si>
    <t>1.6 GW</t>
  </si>
  <si>
    <t>In this financial year, another 1.6 GW is expected to be awarded.</t>
  </si>
  <si>
    <t>Q1FY26</t>
  </si>
  <si>
    <t>27 gigawatt; 62 gigawatt</t>
  </si>
  <si>
    <t>CMD: So, I did mention to you that we will be having 26 to 27 gigawatt addition to around 62 gigawatt, whatever it is commissioned.</t>
  </si>
</sst>
</file>

<file path=xl/styles.xml><?xml version="1.0" encoding="utf-8"?>
<styleSheet xmlns="http://schemas.openxmlformats.org/spreadsheetml/2006/main">
  <numFmts count="7">
    <numFmt numFmtId="164" formatCode="#,##0"/>
    <numFmt numFmtId="165" formatCode="#,##0;(#,##0)"/>
    <numFmt numFmtId="166" formatCode="0.0%"/>
    <numFmt numFmtId="167" formatCode="0.000"/>
    <numFmt numFmtId="168" formatCode="0.0x"/>
    <numFmt numFmtId="169" formatCode="0.00"/>
    <numFmt numFmtId="170" formatCode="0.00;-0.00;&quot;OK&quot;"/>
  </numFmts>
  <fonts count="8">
    <font>
      <sz val="11"/>
      <color theme="1"/>
      <name val="Calibri"/>
      <family val="2"/>
      <scheme val="minor"/>
    </font>
    <font>
      <b/>
      <sz val="13"/>
      <color theme="1"/>
      <name val="Arial"/>
      <family val="2"/>
    </font>
    <font>
      <sz val="9"/>
      <color theme="1"/>
      <name val="Arial"/>
      <family val="2"/>
    </font>
    <font>
      <b/>
      <sz val="9"/>
      <color theme="1"/>
      <name val="Arial"/>
      <family val="2"/>
    </font>
    <font>
      <b/>
      <sz val="12"/>
      <color theme="1"/>
      <name val="Arial"/>
      <family val="2"/>
    </font>
    <font>
      <i/>
      <sz val="9"/>
      <color rgb="FF666666"/>
      <name val="Arial"/>
      <family val="2"/>
    </font>
    <font>
      <sz val="9"/>
      <color rgb="FF1F4E9E"/>
      <name val="Arial"/>
      <family val="2"/>
    </font>
    <font>
      <sz val="9"/>
      <color rgb="FF2E7D32"/>
      <name val="Arial"/>
      <family val="2"/>
    </font>
  </fonts>
  <fills count="3">
    <fill>
      <patternFill patternType="none"/>
    </fill>
    <fill>
      <patternFill patternType="gray125"/>
    </fill>
    <fill>
      <patternFill patternType="solid">
        <fgColor rgb="FFE8EEF4"/>
        <bgColor indexed="64"/>
      </patternFill>
    </fill>
  </fills>
  <borders count="3">
    <border>
      <left/>
      <right/>
      <top/>
      <bottom/>
      <diagonal/>
    </border>
    <border>
      <left/>
      <right/>
      <top/>
      <bottom style="thin">
        <color auto="1"/>
      </bottom>
      <diagonal/>
    </border>
    <border>
      <left/>
      <right/>
      <top style="thin">
        <color auto="1"/>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1" xfId="0" applyFont="1" applyBorder="1"/>
    <xf numFmtId="164" fontId="4" fillId="0" borderId="0" xfId="0" applyNumberFormat="1" applyFont="1"/>
    <xf numFmtId="165" fontId="2" fillId="0" borderId="0" xfId="0" applyNumberFormat="1" applyFont="1"/>
    <xf numFmtId="166" fontId="2" fillId="0" borderId="0" xfId="0" applyNumberFormat="1" applyFont="1"/>
    <xf numFmtId="0" fontId="5" fillId="0" borderId="0" xfId="0" applyFont="1"/>
    <xf numFmtId="166" fontId="6" fillId="0" borderId="0" xfId="0" applyNumberFormat="1" applyFont="1"/>
    <xf numFmtId="167" fontId="6" fillId="0" borderId="0" xfId="0" applyNumberFormat="1" applyFont="1"/>
    <xf numFmtId="164" fontId="6" fillId="0" borderId="0" xfId="0" applyNumberFormat="1" applyFont="1"/>
    <xf numFmtId="168" fontId="2" fillId="0" borderId="0" xfId="0" applyNumberFormat="1" applyFont="1"/>
    <xf numFmtId="0" fontId="3" fillId="2" borderId="0" xfId="0" applyFont="1" applyFill="1"/>
    <xf numFmtId="169" fontId="2" fillId="0" borderId="0" xfId="0" applyNumberFormat="1" applyFont="1"/>
    <xf numFmtId="165" fontId="3" fillId="0" borderId="2" xfId="0" applyNumberFormat="1" applyFont="1" applyBorder="1"/>
    <xf numFmtId="170" fontId="7" fillId="0" borderId="0" xfId="0" applyNumberFormat="1"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showGridLines="0" tabSelected="1" workbookViewId="0"/>
  </sheetViews>
  <sheetFormatPr defaultRowHeight="15"/>
  <cols>
    <col min="1" max="1" width="34.7109375" customWidth="1"/>
    <col min="2" max="2" width="16.7109375" customWidth="1"/>
  </cols>
  <sheetData>
    <row r="1" spans="1:2">
      <c r="A1" s="1" t="s">
        <v>193</v>
      </c>
    </row>
    <row r="3" spans="1:2">
      <c r="A3" s="2" t="s">
        <v>175</v>
      </c>
      <c r="B3" s="3">
        <f>DCF!$C$42</f>
        <v>0</v>
      </c>
    </row>
    <row r="4" spans="1:2">
      <c r="A4" s="2" t="s">
        <v>173</v>
      </c>
      <c r="B4" s="4">
        <f>DCF!$C$40</f>
        <v>0</v>
      </c>
    </row>
    <row r="5" spans="1:2">
      <c r="A5" s="2" t="s">
        <v>194</v>
      </c>
      <c r="B5" s="5">
        <f>Inputs!$C$15</f>
        <v>0</v>
      </c>
    </row>
    <row r="6" spans="1:2">
      <c r="A6" s="2" t="s">
        <v>195</v>
      </c>
      <c r="B6" s="6">
        <f>DCF!$C$41</f>
        <v>0</v>
      </c>
    </row>
    <row r="7" spans="1:2">
      <c r="A7" s="2" t="s">
        <v>196</v>
      </c>
      <c r="B7" s="5">
        <f>DCF!$C$39</f>
        <v>0</v>
      </c>
    </row>
    <row r="8" spans="1:2">
      <c r="A8" s="2" t="s">
        <v>197</v>
      </c>
      <c r="B8" s="5">
        <f>DCF!$C$34</f>
        <v>0</v>
      </c>
    </row>
    <row r="9" spans="1:2">
      <c r="A9" s="2" t="s">
        <v>198</v>
      </c>
      <c r="B9" s="5">
        <f>DCF!$C$36</f>
        <v>0</v>
      </c>
    </row>
    <row r="10" spans="1:2">
      <c r="A10" s="2" t="s">
        <v>199</v>
      </c>
      <c r="B10" s="5">
        <f>DCF!$C$38</f>
        <v>0</v>
      </c>
    </row>
    <row r="11" spans="1:2">
      <c r="A11" s="2" t="s">
        <v>149</v>
      </c>
      <c r="B11" s="6">
        <f>DCF!$C$11</f>
        <v>0</v>
      </c>
    </row>
    <row r="13" spans="1:2">
      <c r="A13" s="7" t="s">
        <v>200</v>
      </c>
    </row>
    <row r="14" spans="1:2">
      <c r="A14" s="7" t="s">
        <v>201</v>
      </c>
    </row>
    <row r="15" spans="1:2">
      <c r="A15" s="7"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6"/>
  <sheetViews>
    <sheetView showGridLines="0" workbookViewId="0"/>
  </sheetViews>
  <sheetFormatPr defaultRowHeight="15"/>
  <cols>
    <col min="1" max="1" width="34.7109375" customWidth="1"/>
    <col min="2" max="2" width="8.7109375" customWidth="1"/>
    <col min="3" max="3" width="14.7109375" customWidth="1"/>
    <col min="4" max="4" width="90.7109375" customWidth="1"/>
    <col min="5" max="17" width="11.7109375" customWidth="1"/>
  </cols>
  <sheetData>
    <row r="1" spans="1:4">
      <c r="A1" s="1" t="s">
        <v>0</v>
      </c>
    </row>
    <row r="3" spans="1:4">
      <c r="A3" s="3" t="s">
        <v>1</v>
      </c>
      <c r="B3" s="3"/>
      <c r="C3" s="3" t="s">
        <v>2</v>
      </c>
      <c r="D3" s="3" t="s">
        <v>3</v>
      </c>
    </row>
    <row r="4" spans="1:4">
      <c r="A4" s="2" t="s">
        <v>4</v>
      </c>
      <c r="C4" s="8">
        <v>0.06762</v>
      </c>
      <c r="D4" s="7" t="s">
        <v>5</v>
      </c>
    </row>
    <row r="5" spans="1:4">
      <c r="A5" s="2" t="s">
        <v>6</v>
      </c>
      <c r="C5" s="8">
        <v>0.0187</v>
      </c>
      <c r="D5" s="7" t="s">
        <v>7</v>
      </c>
    </row>
    <row r="6" spans="1:4">
      <c r="A6" s="2" t="s">
        <v>8</v>
      </c>
      <c r="C6" s="8">
        <v>0.0708</v>
      </c>
      <c r="D6" s="7" t="s">
        <v>9</v>
      </c>
    </row>
    <row r="7" spans="1:4">
      <c r="A7" s="2" t="s">
        <v>10</v>
      </c>
      <c r="C7" s="8">
        <v>0.25</v>
      </c>
      <c r="D7" s="7" t="s">
        <v>11</v>
      </c>
    </row>
    <row r="8" spans="1:4">
      <c r="A8" s="2" t="s">
        <v>12</v>
      </c>
      <c r="C8" s="9">
        <v>0.6273972602739726</v>
      </c>
      <c r="D8" s="7" t="s">
        <v>13</v>
      </c>
    </row>
    <row r="9" spans="1:4">
      <c r="A9" s="2" t="s">
        <v>14</v>
      </c>
      <c r="C9" s="8">
        <v>0.5</v>
      </c>
      <c r="D9" s="7" t="s">
        <v>15</v>
      </c>
    </row>
    <row r="10" spans="1:4">
      <c r="A10" s="2" t="s">
        <v>16</v>
      </c>
      <c r="C10" s="10">
        <v>0</v>
      </c>
      <c r="D10" s="7" t="s">
        <v>17</v>
      </c>
    </row>
    <row r="11" spans="1:4">
      <c r="A11" s="2" t="s">
        <v>18</v>
      </c>
      <c r="C11" s="9">
        <v>0.879</v>
      </c>
      <c r="D11" s="7" t="s">
        <v>19</v>
      </c>
    </row>
    <row r="12" spans="1:4">
      <c r="A12" s="2" t="s">
        <v>20</v>
      </c>
      <c r="C12" s="8">
        <v>0.074</v>
      </c>
      <c r="D12" s="7" t="s">
        <v>21</v>
      </c>
    </row>
    <row r="13" spans="1:4">
      <c r="A13" s="2" t="s">
        <v>22</v>
      </c>
      <c r="C13" s="8">
        <v>0.05</v>
      </c>
      <c r="D13" s="7" t="s">
        <v>23</v>
      </c>
    </row>
    <row r="14" spans="1:4">
      <c r="A14" s="2" t="s">
        <v>24</v>
      </c>
      <c r="C14" s="8">
        <v>0.12</v>
      </c>
      <c r="D14" s="7"/>
    </row>
    <row r="15" spans="1:4">
      <c r="A15" s="2" t="s">
        <v>25</v>
      </c>
      <c r="C15" s="10">
        <v>336.37</v>
      </c>
      <c r="D15" s="7" t="s">
        <v>26</v>
      </c>
    </row>
    <row r="16" spans="1:4">
      <c r="A16" s="2" t="s">
        <v>27</v>
      </c>
      <c r="C16" s="9">
        <v>969.6666134</v>
      </c>
      <c r="D16" s="7" t="s">
        <v>28</v>
      </c>
    </row>
    <row r="17" spans="1:4">
      <c r="A17" s="2" t="s">
        <v>29</v>
      </c>
      <c r="C17" s="10">
        <v>6449.68</v>
      </c>
      <c r="D17" s="7" t="s">
        <v>30</v>
      </c>
    </row>
    <row r="18" spans="1:4">
      <c r="A18" s="2" t="s">
        <v>31</v>
      </c>
      <c r="C18" s="10">
        <v>7977.39</v>
      </c>
      <c r="D18" s="7" t="s">
        <v>30</v>
      </c>
    </row>
    <row r="19" spans="1:4">
      <c r="A19" s="2" t="s">
        <v>32</v>
      </c>
      <c r="C19" s="11">
        <v>14.60824659966117</v>
      </c>
      <c r="D19" s="7" t="s">
        <v>33</v>
      </c>
    </row>
    <row r="20" spans="1:4">
      <c r="A20" s="2" t="s">
        <v>34</v>
      </c>
      <c r="C20" s="8">
        <v>0.7</v>
      </c>
      <c r="D20" s="7" t="s">
        <v>35</v>
      </c>
    </row>
    <row r="21" spans="1:4">
      <c r="A21" s="2" t="s">
        <v>36</v>
      </c>
      <c r="C21" s="8">
        <v>0.5</v>
      </c>
      <c r="D21" s="7" t="s">
        <v>37</v>
      </c>
    </row>
    <row r="22" spans="1:4">
      <c r="A22" s="2" t="s">
        <v>38</v>
      </c>
      <c r="C22" s="9">
        <v>4.5</v>
      </c>
      <c r="D22" s="7"/>
    </row>
    <row r="23" spans="1:4">
      <c r="A23" s="2" t="s">
        <v>39</v>
      </c>
      <c r="C23" s="8">
        <v>0.185</v>
      </c>
      <c r="D23" s="7"/>
    </row>
    <row r="24" spans="1:4">
      <c r="A24" s="2" t="s">
        <v>40</v>
      </c>
      <c r="C24" s="9">
        <v>2.3</v>
      </c>
      <c r="D24" s="7"/>
    </row>
    <row r="25" spans="1:4">
      <c r="A25" s="2" t="s">
        <v>41</v>
      </c>
      <c r="C25" s="8">
        <v>0.85</v>
      </c>
      <c r="D25" s="7"/>
    </row>
    <row r="26" spans="1:4">
      <c r="A26" s="2" t="s">
        <v>42</v>
      </c>
      <c r="C26" s="10">
        <v>6840</v>
      </c>
      <c r="D26" s="7"/>
    </row>
    <row r="27" spans="1:4">
      <c r="A27" s="2" t="s">
        <v>43</v>
      </c>
      <c r="C27" s="10">
        <v>11578</v>
      </c>
      <c r="D27" s="7" t="s">
        <v>44</v>
      </c>
    </row>
    <row r="28" spans="1:4">
      <c r="A28" s="2" t="s">
        <v>45</v>
      </c>
      <c r="C28" s="10">
        <v>2864</v>
      </c>
      <c r="D28" s="7" t="s">
        <v>46</v>
      </c>
    </row>
    <row r="29" spans="1:4">
      <c r="A29" s="2" t="s">
        <v>47</v>
      </c>
      <c r="C29" s="8">
        <v>0.05</v>
      </c>
      <c r="D29" s="7"/>
    </row>
    <row r="30" spans="1:4">
      <c r="A30" s="2" t="s">
        <v>48</v>
      </c>
      <c r="C30" s="8">
        <v>0.025</v>
      </c>
      <c r="D30" s="7"/>
    </row>
    <row r="31" spans="1:4">
      <c r="A31" s="2" t="s">
        <v>49</v>
      </c>
      <c r="C31" s="8">
        <v>0.07000000000000001</v>
      </c>
      <c r="D31" s="7"/>
    </row>
    <row r="32" spans="1:4">
      <c r="A32" s="2" t="s">
        <v>50</v>
      </c>
      <c r="C32" s="8">
        <v>0.4</v>
      </c>
      <c r="D32" s="7"/>
    </row>
    <row r="33" spans="1:4">
      <c r="A33" s="2" t="s">
        <v>51</v>
      </c>
      <c r="C33" s="8">
        <v>0.5</v>
      </c>
      <c r="D33" s="7"/>
    </row>
    <row r="34" spans="1:4">
      <c r="A34" s="2" t="s">
        <v>52</v>
      </c>
      <c r="C34" s="8">
        <v>0.055</v>
      </c>
      <c r="D34" s="7"/>
    </row>
    <row r="35" spans="1:4">
      <c r="A35" s="2" t="s">
        <v>53</v>
      </c>
      <c r="C35" s="8">
        <v>0.32</v>
      </c>
      <c r="D35" s="7" t="s">
        <v>54</v>
      </c>
    </row>
    <row r="36" spans="1:4">
      <c r="A36" s="2" t="s">
        <v>55</v>
      </c>
      <c r="C36" s="8">
        <v>0.7</v>
      </c>
      <c r="D36" s="7"/>
    </row>
    <row r="37" spans="1:4">
      <c r="A37" s="2" t="s">
        <v>56</v>
      </c>
      <c r="C37" s="8">
        <v>0.41</v>
      </c>
      <c r="D37" s="7"/>
    </row>
    <row r="38" spans="1:4">
      <c r="A38" s="2" t="s">
        <v>57</v>
      </c>
      <c r="C38" s="8">
        <v>0.05</v>
      </c>
      <c r="D38" s="7"/>
    </row>
    <row r="39" spans="1:4">
      <c r="A39" s="2" t="s">
        <v>58</v>
      </c>
      <c r="C39" s="10">
        <v>108791</v>
      </c>
      <c r="D39" s="7" t="s">
        <v>59</v>
      </c>
    </row>
    <row r="40" spans="1:4">
      <c r="A40" s="2" t="s">
        <v>60</v>
      </c>
      <c r="C40" s="10">
        <v>120319</v>
      </c>
      <c r="D40" s="7"/>
    </row>
    <row r="41" spans="1:4">
      <c r="A41" s="2" t="s">
        <v>61</v>
      </c>
      <c r="C41" s="8">
        <v>0.3</v>
      </c>
      <c r="D41" s="7" t="s">
        <v>62</v>
      </c>
    </row>
    <row r="42" spans="1:4">
      <c r="A42" s="2" t="s">
        <v>63</v>
      </c>
      <c r="C42" s="8">
        <v>0.159</v>
      </c>
      <c r="D42" s="7" t="s">
        <v>64</v>
      </c>
    </row>
    <row r="43" spans="1:4">
      <c r="A43" s="2" t="s">
        <v>65</v>
      </c>
      <c r="C43" s="8">
        <v>0.05</v>
      </c>
      <c r="D43" s="7"/>
    </row>
    <row r="44" spans="1:4">
      <c r="A44" s="2" t="s">
        <v>66</v>
      </c>
      <c r="C44" s="10">
        <v>77463.24890426817</v>
      </c>
      <c r="D44" s="7" t="s">
        <v>67</v>
      </c>
    </row>
    <row r="45" spans="1:4">
      <c r="A45" s="2" t="s">
        <v>68</v>
      </c>
      <c r="C45" s="8">
        <v>0.8901</v>
      </c>
      <c r="D45" s="7" t="s">
        <v>69</v>
      </c>
    </row>
    <row r="46" spans="1:4">
      <c r="A46" s="2" t="s">
        <v>70</v>
      </c>
      <c r="C46" s="8">
        <v>0.2</v>
      </c>
      <c r="D46"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56"/>
  <sheetViews>
    <sheetView showGridLines="0" workbookViewId="0">
      <pane xSplit="2" ySplit="3" topLeftCell="C4" activePane="bottomRight" state="frozen"/>
      <selection pane="topRight" activeCell="C1" sqref="C1"/>
      <selection pane="bottomLeft" activeCell="A4" sqref="A4"/>
      <selection pane="bottomRight"/>
    </sheetView>
  </sheetViews>
  <sheetFormatPr defaultRowHeight="15"/>
  <cols>
    <col min="1" max="1" width="34.7109375" customWidth="1"/>
    <col min="2" max="2" width="8.7109375" customWidth="1"/>
    <col min="3" max="17" width="11.7109375" customWidth="1"/>
  </cols>
  <sheetData>
    <row r="1" spans="1:17">
      <c r="A1" s="1" t="s">
        <v>71</v>
      </c>
    </row>
    <row r="3" spans="1:17">
      <c r="A3" s="3"/>
      <c r="B3" s="3"/>
      <c r="C3" s="3" t="s">
        <v>72</v>
      </c>
      <c r="D3" s="3" t="s">
        <v>73</v>
      </c>
      <c r="E3" s="3" t="s">
        <v>74</v>
      </c>
      <c r="F3" s="3" t="s">
        <v>75</v>
      </c>
      <c r="G3" s="3" t="s">
        <v>76</v>
      </c>
      <c r="H3" s="3" t="s">
        <v>77</v>
      </c>
      <c r="I3" s="3" t="s">
        <v>78</v>
      </c>
      <c r="J3" s="3" t="s">
        <v>79</v>
      </c>
      <c r="K3" s="3" t="s">
        <v>80</v>
      </c>
      <c r="L3" s="3" t="s">
        <v>81</v>
      </c>
      <c r="M3" s="3" t="s">
        <v>82</v>
      </c>
      <c r="N3" s="3" t="s">
        <v>83</v>
      </c>
      <c r="O3" s="3" t="s">
        <v>84</v>
      </c>
      <c r="P3" s="3" t="s">
        <v>85</v>
      </c>
      <c r="Q3" s="3" t="s">
        <v>86</v>
      </c>
    </row>
    <row r="4" spans="1:17">
      <c r="A4" s="12" t="s">
        <v>87</v>
      </c>
      <c r="B4" s="12"/>
      <c r="C4" s="12"/>
      <c r="D4" s="12"/>
      <c r="E4" s="12"/>
      <c r="F4" s="12"/>
      <c r="G4" s="12"/>
      <c r="H4" s="12"/>
      <c r="I4" s="12"/>
      <c r="J4" s="12"/>
      <c r="K4" s="12"/>
      <c r="L4" s="12"/>
      <c r="M4" s="12"/>
      <c r="N4" s="12"/>
      <c r="O4" s="12"/>
      <c r="P4" s="12"/>
      <c r="Q4" s="12"/>
    </row>
    <row r="5" spans="1:17">
      <c r="A5" s="2" t="s">
        <v>93</v>
      </c>
      <c r="H5" s="10">
        <v>108000</v>
      </c>
      <c r="I5" s="10">
        <v>119400</v>
      </c>
      <c r="J5" s="10">
        <v>119400</v>
      </c>
      <c r="K5" s="10">
        <v>119400</v>
      </c>
      <c r="L5" s="10">
        <v>119400</v>
      </c>
      <c r="M5" s="10">
        <v>119400</v>
      </c>
      <c r="N5" s="10">
        <v>119400</v>
      </c>
      <c r="O5" s="10">
        <v>119400</v>
      </c>
      <c r="P5" s="10">
        <v>119400</v>
      </c>
      <c r="Q5" s="10">
        <v>119400</v>
      </c>
    </row>
    <row r="6" spans="1:17">
      <c r="A6" s="2" t="s">
        <v>94</v>
      </c>
      <c r="C6" s="5">
        <v>29086</v>
      </c>
      <c r="D6" s="5">
        <v>28346</v>
      </c>
      <c r="E6" s="5">
        <v>33199</v>
      </c>
      <c r="F6" s="5">
        <v>43099</v>
      </c>
      <c r="G6" s="5">
        <v>50987</v>
      </c>
      <c r="H6" s="5">
        <f>H5*Inputs!$C$20</f>
        <v>0</v>
      </c>
      <c r="I6" s="5">
        <f>I5*Inputs!$C$20</f>
        <v>0</v>
      </c>
      <c r="J6" s="5">
        <f>J5*Inputs!$C$20</f>
        <v>0</v>
      </c>
      <c r="K6" s="5">
        <f>K5*Inputs!$C$20</f>
        <v>0</v>
      </c>
      <c r="L6" s="5">
        <f>L5*Inputs!$C$20</f>
        <v>0</v>
      </c>
      <c r="M6" s="5">
        <f>M5*Inputs!$C$20</f>
        <v>0</v>
      </c>
      <c r="N6" s="5">
        <f>N5*Inputs!$C$20</f>
        <v>0</v>
      </c>
      <c r="O6" s="5">
        <f>O5*Inputs!$C$20</f>
        <v>0</v>
      </c>
      <c r="P6" s="5">
        <f>P5*Inputs!$C$20</f>
        <v>0</v>
      </c>
      <c r="Q6" s="5">
        <f>Q5*Inputs!$C$20</f>
        <v>0</v>
      </c>
    </row>
    <row r="7" spans="1:17">
      <c r="A7" s="2" t="s">
        <v>95</v>
      </c>
      <c r="C7" s="5">
        <v>35466</v>
      </c>
      <c r="D7" s="5">
        <v>30293</v>
      </c>
      <c r="E7" s="5">
        <v>34714</v>
      </c>
      <c r="F7" s="5">
        <v>29904</v>
      </c>
      <c r="G7" s="5">
        <v>66889</v>
      </c>
      <c r="H7" s="5">
        <f>(G33+H6)*Inputs!$C$32</f>
        <v>0</v>
      </c>
      <c r="I7" s="5">
        <f>(H33+I6)*Inputs!$C$32</f>
        <v>0</v>
      </c>
      <c r="J7" s="5">
        <f>(I33+J6)*Inputs!$C$32</f>
        <v>0</v>
      </c>
      <c r="K7" s="5">
        <f>(J33+K6)*Inputs!$C$32</f>
        <v>0</v>
      </c>
      <c r="L7" s="5">
        <f>(K33+L6)*Inputs!$C$32</f>
        <v>0</v>
      </c>
      <c r="M7" s="5">
        <f>(L33+M6)*Inputs!$C$32</f>
        <v>0</v>
      </c>
      <c r="N7" s="5">
        <f>(M33+N6)*Inputs!$C$32</f>
        <v>0</v>
      </c>
      <c r="O7" s="5">
        <f>(N33+O6)*Inputs!$C$32</f>
        <v>0</v>
      </c>
      <c r="P7" s="5">
        <f>(O33+P6)*Inputs!$C$32</f>
        <v>0</v>
      </c>
      <c r="Q7" s="5">
        <f>(P33+Q6)*Inputs!$C$32</f>
        <v>0</v>
      </c>
    </row>
    <row r="8" spans="1:17">
      <c r="A8" s="2" t="s">
        <v>96</v>
      </c>
      <c r="G8" s="5">
        <f>G7*Inputs!$C$21</f>
        <v>0</v>
      </c>
      <c r="H8" s="5">
        <f>H7*Inputs!$C$21</f>
        <v>0</v>
      </c>
      <c r="I8" s="5">
        <f>I7*Inputs!$C$21</f>
        <v>0</v>
      </c>
      <c r="J8" s="5">
        <f>J7*Inputs!$C$21</f>
        <v>0</v>
      </c>
      <c r="K8" s="5">
        <f>K7*Inputs!$C$21</f>
        <v>0</v>
      </c>
      <c r="L8" s="5">
        <f>L7*Inputs!$C$21</f>
        <v>0</v>
      </c>
      <c r="M8" s="5">
        <f>M7*Inputs!$C$21</f>
        <v>0</v>
      </c>
      <c r="N8" s="5">
        <f>N7*Inputs!$C$21</f>
        <v>0</v>
      </c>
      <c r="O8" s="5">
        <f>O7*Inputs!$C$21</f>
        <v>0</v>
      </c>
      <c r="P8" s="5">
        <f>P7*Inputs!$C$21</f>
        <v>0</v>
      </c>
      <c r="Q8" s="5">
        <f>Q7*Inputs!$C$21</f>
        <v>0</v>
      </c>
    </row>
    <row r="9" spans="1:17">
      <c r="A9" s="2" t="s">
        <v>97</v>
      </c>
      <c r="G9" s="5">
        <f>G7-G8</f>
        <v>0</v>
      </c>
      <c r="H9" s="5">
        <f>H7-H8</f>
        <v>0</v>
      </c>
      <c r="I9" s="5">
        <f>I7-I8</f>
        <v>0</v>
      </c>
      <c r="J9" s="5">
        <f>J7-J8</f>
        <v>0</v>
      </c>
      <c r="K9" s="5">
        <f>K7-K8</f>
        <v>0</v>
      </c>
      <c r="L9" s="5">
        <f>L7-L8</f>
        <v>0</v>
      </c>
      <c r="M9" s="5">
        <f>M7-M8</f>
        <v>0</v>
      </c>
      <c r="N9" s="5">
        <f>N7-N8</f>
        <v>0</v>
      </c>
      <c r="O9" s="5">
        <f>O7-O8</f>
        <v>0</v>
      </c>
      <c r="P9" s="5">
        <f>P7-P8</f>
        <v>0</v>
      </c>
      <c r="Q9" s="5">
        <f>Q7-Q8</f>
        <v>0</v>
      </c>
    </row>
    <row r="10" spans="1:17">
      <c r="A10" s="12" t="s">
        <v>88</v>
      </c>
      <c r="B10" s="12"/>
      <c r="C10" s="12"/>
      <c r="D10" s="12"/>
      <c r="E10" s="12"/>
      <c r="F10" s="12"/>
      <c r="G10" s="12"/>
      <c r="H10" s="12"/>
      <c r="I10" s="12"/>
      <c r="J10" s="12"/>
      <c r="K10" s="12"/>
      <c r="L10" s="12"/>
      <c r="M10" s="12"/>
      <c r="N10" s="12"/>
      <c r="O10" s="12"/>
      <c r="P10" s="12"/>
      <c r="Q10" s="12"/>
    </row>
    <row r="11" spans="1:17">
      <c r="A11" s="2" t="s">
        <v>98</v>
      </c>
      <c r="G11" s="5">
        <f>Inputs!$C$27</f>
        <v>0</v>
      </c>
      <c r="H11" s="5">
        <f>G11+H8/Inputs!$C$22</f>
        <v>0</v>
      </c>
      <c r="I11" s="5">
        <f>H11+I8/Inputs!$C$22</f>
        <v>0</v>
      </c>
      <c r="J11" s="5">
        <f>I11+J8/Inputs!$C$22</f>
        <v>0</v>
      </c>
      <c r="K11" s="5">
        <f>J11+K8/Inputs!$C$22</f>
        <v>0</v>
      </c>
      <c r="L11" s="5">
        <f>K11+L8/Inputs!$C$22</f>
        <v>0</v>
      </c>
      <c r="M11" s="5">
        <f>L11+M8/Inputs!$C$22</f>
        <v>0</v>
      </c>
      <c r="N11" s="5">
        <f>M11+N8/Inputs!$C$22</f>
        <v>0</v>
      </c>
      <c r="O11" s="5">
        <f>N11+O8/Inputs!$C$22</f>
        <v>0</v>
      </c>
      <c r="P11" s="5">
        <f>O11+P8/Inputs!$C$22</f>
        <v>0</v>
      </c>
      <c r="Q11" s="5">
        <f>P11+Q8/Inputs!$C$22</f>
        <v>0</v>
      </c>
    </row>
    <row r="12" spans="1:17">
      <c r="A12" s="2" t="s">
        <v>99</v>
      </c>
      <c r="G12" s="5">
        <f>(Inputs!$C$26+Inputs!$C$27)/2*Inputs!$C$23*0.876*Inputs!$C$24</f>
        <v>0</v>
      </c>
      <c r="H12" s="5">
        <f>(G11+H11)/2*Inputs!$C$23*0.876*Inputs!$C$24</f>
        <v>0</v>
      </c>
      <c r="I12" s="5">
        <f>(H11+I11)/2*Inputs!$C$23*0.876*Inputs!$C$24</f>
        <v>0</v>
      </c>
      <c r="J12" s="5">
        <f>(I11+J11)/2*Inputs!$C$23*0.876*Inputs!$C$24</f>
        <v>0</v>
      </c>
      <c r="K12" s="5">
        <f>(J11+K11)/2*Inputs!$C$23*0.876*Inputs!$C$24</f>
        <v>0</v>
      </c>
      <c r="L12" s="5">
        <f>(K11+L11)/2*Inputs!$C$23*0.876*Inputs!$C$24</f>
        <v>0</v>
      </c>
      <c r="M12" s="5">
        <f>(L11+M11)/2*Inputs!$C$23*0.876*Inputs!$C$24</f>
        <v>0</v>
      </c>
      <c r="N12" s="5">
        <f>(M11+N11)/2*Inputs!$C$23*0.876*Inputs!$C$24</f>
        <v>0</v>
      </c>
      <c r="O12" s="5">
        <f>(N11+O11)/2*Inputs!$C$23*0.876*Inputs!$C$24</f>
        <v>0</v>
      </c>
      <c r="P12" s="5">
        <f>(O11+P11)/2*Inputs!$C$23*0.876*Inputs!$C$24</f>
        <v>0</v>
      </c>
      <c r="Q12" s="5">
        <f>(P11+Q11)/2*Inputs!$C$23*0.876*Inputs!$C$24</f>
        <v>0</v>
      </c>
    </row>
    <row r="13" spans="1:17">
      <c r="A13" s="2" t="s">
        <v>100</v>
      </c>
      <c r="G13" s="5">
        <f>G12*Inputs!$C$25</f>
        <v>0</v>
      </c>
      <c r="H13" s="5">
        <f>H12*Inputs!$C$25</f>
        <v>0</v>
      </c>
      <c r="I13" s="5">
        <f>I12*Inputs!$C$25</f>
        <v>0</v>
      </c>
      <c r="J13" s="5">
        <f>J12*Inputs!$C$25</f>
        <v>0</v>
      </c>
      <c r="K13" s="5">
        <f>K12*Inputs!$C$25</f>
        <v>0</v>
      </c>
      <c r="L13" s="5">
        <f>L12*Inputs!$C$25</f>
        <v>0</v>
      </c>
      <c r="M13" s="5">
        <f>M12*Inputs!$C$25</f>
        <v>0</v>
      </c>
      <c r="N13" s="5">
        <f>N12*Inputs!$C$25</f>
        <v>0</v>
      </c>
      <c r="O13" s="5">
        <f>O12*Inputs!$C$25</f>
        <v>0</v>
      </c>
      <c r="P13" s="5">
        <f>P12*Inputs!$C$25</f>
        <v>0</v>
      </c>
      <c r="Q13" s="5">
        <f>Q12*Inputs!$C$25</f>
        <v>0</v>
      </c>
    </row>
    <row r="14" spans="1:17">
      <c r="A14" s="2" t="s">
        <v>101</v>
      </c>
      <c r="G14" s="5">
        <f>Inputs!$C$40</f>
        <v>0</v>
      </c>
      <c r="H14" s="5">
        <f>G14+Inputs!$C$41*H9</f>
        <v>0</v>
      </c>
      <c r="I14" s="5">
        <f>H14+Inputs!$C$41*I9</f>
        <v>0</v>
      </c>
      <c r="J14" s="5">
        <f>I14+Inputs!$C$41*J9</f>
        <v>0</v>
      </c>
      <c r="K14" s="5">
        <f>J14+Inputs!$C$41*K9</f>
        <v>0</v>
      </c>
      <c r="L14" s="5">
        <f>K14+Inputs!$C$41*L9</f>
        <v>0</v>
      </c>
      <c r="M14" s="5">
        <f>L14+Inputs!$C$41*M9</f>
        <v>0</v>
      </c>
      <c r="N14" s="5">
        <f>M14+Inputs!$C$41*N9</f>
        <v>0</v>
      </c>
      <c r="O14" s="5">
        <f>N14+Inputs!$C$41*O9</f>
        <v>0</v>
      </c>
      <c r="P14" s="5">
        <f>O14+Inputs!$C$41*P9</f>
        <v>0</v>
      </c>
      <c r="Q14" s="5">
        <f>P14+Inputs!$C$41*Q9</f>
        <v>0</v>
      </c>
    </row>
    <row r="15" spans="1:17">
      <c r="A15" s="2" t="s">
        <v>102</v>
      </c>
      <c r="G15" s="5">
        <f>G16-G13</f>
        <v>0</v>
      </c>
      <c r="H15" s="5">
        <f>$G$15*(G14+H14)/2/((Inputs!$C$39+Inputs!$C$40)/2)</f>
        <v>0</v>
      </c>
      <c r="I15" s="5">
        <f>$G$15*(H14+I14)/2/((Inputs!$C$39+Inputs!$C$40)/2)</f>
        <v>0</v>
      </c>
      <c r="J15" s="5">
        <f>$G$15*(I14+J14)/2/((Inputs!$C$39+Inputs!$C$40)/2)</f>
        <v>0</v>
      </c>
      <c r="K15" s="5">
        <f>$G$15*(J14+K14)/2/((Inputs!$C$39+Inputs!$C$40)/2)</f>
        <v>0</v>
      </c>
      <c r="L15" s="5">
        <f>$G$15*(K14+L14)/2/((Inputs!$C$39+Inputs!$C$40)/2)</f>
        <v>0</v>
      </c>
      <c r="M15" s="5">
        <f>$G$15*(L14+M14)/2/((Inputs!$C$39+Inputs!$C$40)/2)</f>
        <v>0</v>
      </c>
      <c r="N15" s="5">
        <f>$G$15*(M14+N14)/2/((Inputs!$C$39+Inputs!$C$40)/2)</f>
        <v>0</v>
      </c>
      <c r="O15" s="5">
        <f>$G$15*(N14+O14)/2/((Inputs!$C$39+Inputs!$C$40)/2)</f>
        <v>0</v>
      </c>
      <c r="P15" s="5">
        <f>$G$15*(O14+P14)/2/((Inputs!$C$39+Inputs!$C$40)/2)</f>
        <v>0</v>
      </c>
      <c r="Q15" s="5">
        <f>$G$15*(P14+Q14)/2/((Inputs!$C$39+Inputs!$C$40)/2)</f>
        <v>0</v>
      </c>
    </row>
    <row r="16" spans="1:17">
      <c r="A16" s="2" t="s">
        <v>103</v>
      </c>
      <c r="C16" s="5">
        <v>40362</v>
      </c>
      <c r="D16" s="5">
        <v>47596</v>
      </c>
      <c r="E16" s="5">
        <v>51469</v>
      </c>
      <c r="F16" s="5">
        <v>54355</v>
      </c>
      <c r="G16" s="5">
        <v>55438</v>
      </c>
      <c r="H16" s="5">
        <f>H15+H13</f>
        <v>0</v>
      </c>
      <c r="I16" s="5">
        <f>I15+I13</f>
        <v>0</v>
      </c>
      <c r="J16" s="5">
        <f>J15+J13</f>
        <v>0</v>
      </c>
      <c r="K16" s="5">
        <f>K15+K13</f>
        <v>0</v>
      </c>
      <c r="L16" s="5">
        <f>L15+L13</f>
        <v>0</v>
      </c>
      <c r="M16" s="5">
        <f>M15+M13</f>
        <v>0</v>
      </c>
      <c r="N16" s="5">
        <f>N15+N13</f>
        <v>0</v>
      </c>
      <c r="O16" s="5">
        <f>O15+O13</f>
        <v>0</v>
      </c>
      <c r="P16" s="5">
        <f>P15+P13</f>
        <v>0</v>
      </c>
      <c r="Q16" s="5">
        <f>Q15+Q13</f>
        <v>0</v>
      </c>
    </row>
    <row r="17" spans="1:17">
      <c r="A17" s="2" t="s">
        <v>104</v>
      </c>
      <c r="C17" s="6">
        <f>C16/C19</f>
        <v>0</v>
      </c>
      <c r="D17" s="6">
        <f>D16/D19</f>
        <v>0</v>
      </c>
      <c r="E17" s="6">
        <f>E16/E19</f>
        <v>0</v>
      </c>
      <c r="F17" s="6">
        <f>F16/F19</f>
        <v>0</v>
      </c>
      <c r="G17" s="6">
        <f>G16/G19</f>
        <v>0</v>
      </c>
      <c r="H17" s="6">
        <f>H16/H19</f>
        <v>0</v>
      </c>
      <c r="I17" s="6">
        <f>I16/I19</f>
        <v>0</v>
      </c>
      <c r="J17" s="6">
        <f>J16/J19</f>
        <v>0</v>
      </c>
      <c r="K17" s="6">
        <f>K16/K19</f>
        <v>0</v>
      </c>
      <c r="L17" s="6">
        <f>L16/L19</f>
        <v>0</v>
      </c>
      <c r="M17" s="6">
        <f>M16/M19</f>
        <v>0</v>
      </c>
      <c r="N17" s="6">
        <f>N16/N19</f>
        <v>0</v>
      </c>
      <c r="O17" s="6">
        <f>O16/O19</f>
        <v>0</v>
      </c>
      <c r="P17" s="6">
        <f>P16/P19</f>
        <v>0</v>
      </c>
      <c r="Q17" s="6">
        <f>Q16/Q19</f>
        <v>0</v>
      </c>
    </row>
    <row r="18" spans="1:17">
      <c r="A18" s="12" t="s">
        <v>89</v>
      </c>
      <c r="B18" s="12"/>
      <c r="C18" s="12"/>
      <c r="D18" s="12"/>
      <c r="E18" s="12"/>
      <c r="F18" s="12"/>
      <c r="G18" s="12"/>
      <c r="H18" s="12"/>
      <c r="I18" s="12"/>
      <c r="J18" s="12"/>
      <c r="K18" s="12"/>
      <c r="L18" s="12"/>
      <c r="M18" s="12"/>
      <c r="N18" s="12"/>
      <c r="O18" s="12"/>
      <c r="P18" s="12"/>
      <c r="Q18" s="12"/>
    </row>
    <row r="19" spans="1:17">
      <c r="A19" s="2" t="s">
        <v>105</v>
      </c>
      <c r="C19" s="5">
        <v>132669</v>
      </c>
      <c r="D19" s="5">
        <v>176207</v>
      </c>
      <c r="E19" s="5">
        <v>178525</v>
      </c>
      <c r="F19" s="5">
        <v>188138</v>
      </c>
      <c r="G19" s="5">
        <v>187385</v>
      </c>
      <c r="H19" s="5">
        <f>H15/($G$15/($G$19-$G$12))+H12</f>
        <v>0</v>
      </c>
      <c r="I19" s="5">
        <f>I15/($G$15/($G$19-$G$12))+I12</f>
        <v>0</v>
      </c>
      <c r="J19" s="5">
        <f>J15/($G$15/($G$19-$G$12))+J12</f>
        <v>0</v>
      </c>
      <c r="K19" s="5">
        <f>K15/($G$15/($G$19-$G$12))+K12</f>
        <v>0</v>
      </c>
      <c r="L19" s="5">
        <f>L15/($G$15/($G$19-$G$12))+L12</f>
        <v>0</v>
      </c>
      <c r="M19" s="5">
        <f>M15/($G$15/($G$19-$G$12))+M12</f>
        <v>0</v>
      </c>
      <c r="N19" s="5">
        <f>N15/($G$15/($G$19-$G$12))+N12</f>
        <v>0</v>
      </c>
      <c r="O19" s="5">
        <f>O15/($G$15/($G$19-$G$12))+O12</f>
        <v>0</v>
      </c>
      <c r="P19" s="5">
        <f>P15/($G$15/($G$19-$G$12))+P12</f>
        <v>0</v>
      </c>
      <c r="Q19" s="5">
        <f>Q15/($G$15/($G$19-$G$12))+Q12</f>
        <v>0</v>
      </c>
    </row>
    <row r="20" spans="1:17">
      <c r="A20" s="2" t="s">
        <v>106</v>
      </c>
      <c r="C20" s="5">
        <v>4809</v>
      </c>
      <c r="D20" s="5">
        <v>2561</v>
      </c>
      <c r="E20" s="5">
        <v>5177</v>
      </c>
      <c r="F20" s="5">
        <v>8526</v>
      </c>
      <c r="G20" s="5">
        <v>2662</v>
      </c>
      <c r="H20" s="5">
        <f>H19*Inputs!$C$30</f>
        <v>0</v>
      </c>
      <c r="I20" s="5">
        <f>I19*Inputs!$C$30</f>
        <v>0</v>
      </c>
      <c r="J20" s="5">
        <f>J19*Inputs!$C$30</f>
        <v>0</v>
      </c>
      <c r="K20" s="5">
        <f>K19*Inputs!$C$30</f>
        <v>0</v>
      </c>
      <c r="L20" s="5">
        <f>L19*Inputs!$C$30</f>
        <v>0</v>
      </c>
      <c r="M20" s="5">
        <f>M19*Inputs!$C$30</f>
        <v>0</v>
      </c>
      <c r="N20" s="5">
        <f>N19*Inputs!$C$30</f>
        <v>0</v>
      </c>
      <c r="O20" s="5">
        <f>O19*Inputs!$C$30</f>
        <v>0</v>
      </c>
      <c r="P20" s="5">
        <f>P19*Inputs!$C$30</f>
        <v>0</v>
      </c>
      <c r="Q20" s="5">
        <f>Q19*Inputs!$C$30</f>
        <v>0</v>
      </c>
    </row>
    <row r="21" spans="1:17">
      <c r="A21" s="2" t="s">
        <v>107</v>
      </c>
      <c r="C21" s="5">
        <v>13788</v>
      </c>
      <c r="D21" s="5">
        <v>14792</v>
      </c>
      <c r="E21" s="5">
        <v>16204</v>
      </c>
      <c r="F21" s="5">
        <v>17401</v>
      </c>
      <c r="G21" s="5">
        <v>19629</v>
      </c>
      <c r="H21" s="5">
        <f>G32*Inputs!$C$31</f>
        <v>0</v>
      </c>
      <c r="I21" s="5">
        <f>H32*Inputs!$C$31</f>
        <v>0</v>
      </c>
      <c r="J21" s="5">
        <f>I32*Inputs!$C$31</f>
        <v>0</v>
      </c>
      <c r="K21" s="5">
        <f>J32*Inputs!$C$31</f>
        <v>0</v>
      </c>
      <c r="L21" s="5">
        <f>K32*Inputs!$C$31</f>
        <v>0</v>
      </c>
      <c r="M21" s="5">
        <f>L32*Inputs!$C$31</f>
        <v>0</v>
      </c>
      <c r="N21" s="5">
        <f>M32*Inputs!$C$31</f>
        <v>0</v>
      </c>
      <c r="O21" s="5">
        <f>N32*Inputs!$C$31</f>
        <v>0</v>
      </c>
      <c r="P21" s="5">
        <f>O32*Inputs!$C$31</f>
        <v>0</v>
      </c>
      <c r="Q21" s="5">
        <f>P32*Inputs!$C$31</f>
        <v>0</v>
      </c>
    </row>
    <row r="22" spans="1:17">
      <c r="A22" s="2" t="s">
        <v>108</v>
      </c>
      <c r="C22" s="5">
        <v>9376</v>
      </c>
      <c r="D22" s="5">
        <v>11447</v>
      </c>
      <c r="E22" s="5">
        <v>12301</v>
      </c>
      <c r="F22" s="5">
        <v>13282</v>
      </c>
      <c r="G22" s="5">
        <v>13801</v>
      </c>
      <c r="H22" s="5">
        <f>(G41+H41)/2*Inputs!$C$34+G42*Inputs!$C$34</f>
        <v>0</v>
      </c>
      <c r="I22" s="5">
        <f>(H41+I41)/2*Inputs!$C$34+H42*Inputs!$C$34</f>
        <v>0</v>
      </c>
      <c r="J22" s="5">
        <f>(I41+J41)/2*Inputs!$C$34+I42*Inputs!$C$34</f>
        <v>0</v>
      </c>
      <c r="K22" s="5">
        <f>(J41+K41)/2*Inputs!$C$34+J42*Inputs!$C$34</f>
        <v>0</v>
      </c>
      <c r="L22" s="5">
        <f>(K41+L41)/2*Inputs!$C$34+K42*Inputs!$C$34</f>
        <v>0</v>
      </c>
      <c r="M22" s="5">
        <f>(L41+M41)/2*Inputs!$C$34+L42*Inputs!$C$34</f>
        <v>0</v>
      </c>
      <c r="N22" s="5">
        <f>(M41+N41)/2*Inputs!$C$34+M42*Inputs!$C$34</f>
        <v>0</v>
      </c>
      <c r="O22" s="5">
        <f>(N41+O41)/2*Inputs!$C$34+N42*Inputs!$C$34</f>
        <v>0</v>
      </c>
      <c r="P22" s="5">
        <f>(O41+P41)/2*Inputs!$C$34+O42*Inputs!$C$34</f>
        <v>0</v>
      </c>
      <c r="Q22" s="5">
        <f>(P41+Q41)/2*Inputs!$C$34+P42*Inputs!$C$34</f>
        <v>0</v>
      </c>
    </row>
    <row r="23" spans="1:17">
      <c r="A23" s="2" t="s">
        <v>109</v>
      </c>
      <c r="C23" s="5">
        <v>22007</v>
      </c>
      <c r="D23" s="5">
        <v>23917</v>
      </c>
      <c r="E23" s="5">
        <v>28142</v>
      </c>
      <c r="F23" s="5">
        <v>32198</v>
      </c>
      <c r="G23" s="5">
        <v>24669</v>
      </c>
      <c r="H23" s="5">
        <f>H16+H20-H21-H22</f>
        <v>0</v>
      </c>
      <c r="I23" s="5">
        <f>I16+I20-I21-I22</f>
        <v>0</v>
      </c>
      <c r="J23" s="5">
        <f>J16+J20-J21-J22</f>
        <v>0</v>
      </c>
      <c r="K23" s="5">
        <f>K16+K20-K21-K22</f>
        <v>0</v>
      </c>
      <c r="L23" s="5">
        <f>L16+L20-L21-L22</f>
        <v>0</v>
      </c>
      <c r="M23" s="5">
        <f>M16+M20-M21-M22</f>
        <v>0</v>
      </c>
      <c r="N23" s="5">
        <f>N16+N20-N21-N22</f>
        <v>0</v>
      </c>
      <c r="O23" s="5">
        <f>O16+O20-O21-O22</f>
        <v>0</v>
      </c>
      <c r="P23" s="5">
        <f>P16+P20-P21-P22</f>
        <v>0</v>
      </c>
      <c r="Q23" s="5">
        <f>Q16+Q20-Q21-Q22</f>
        <v>0</v>
      </c>
    </row>
    <row r="24" spans="1:17">
      <c r="A24" s="2" t="s">
        <v>110</v>
      </c>
      <c r="C24" s="5">
        <v>5047</v>
      </c>
      <c r="D24" s="5">
        <v>6796</v>
      </c>
      <c r="E24" s="5">
        <v>6810</v>
      </c>
      <c r="F24" s="5">
        <v>8245</v>
      </c>
      <c r="G24" s="5">
        <v>-2877</v>
      </c>
      <c r="H24" s="5">
        <f>MAX(H23,0)*Inputs!$C$7</f>
        <v>0</v>
      </c>
      <c r="I24" s="5">
        <f>MAX(I23,0)*Inputs!$C$7</f>
        <v>0</v>
      </c>
      <c r="J24" s="5">
        <f>MAX(J23,0)*Inputs!$C$7</f>
        <v>0</v>
      </c>
      <c r="K24" s="5">
        <f>MAX(K23,0)*Inputs!$C$7</f>
        <v>0</v>
      </c>
      <c r="L24" s="5">
        <f>MAX(L23,0)*Inputs!$C$7</f>
        <v>0</v>
      </c>
      <c r="M24" s="5">
        <f>MAX(M23,0)*Inputs!$C$7</f>
        <v>0</v>
      </c>
      <c r="N24" s="5">
        <f>MAX(N23,0)*Inputs!$C$7</f>
        <v>0</v>
      </c>
      <c r="O24" s="5">
        <f>MAX(O23,0)*Inputs!$C$7</f>
        <v>0</v>
      </c>
      <c r="P24" s="5">
        <f>MAX(P23,0)*Inputs!$C$7</f>
        <v>0</v>
      </c>
      <c r="Q24" s="5">
        <f>MAX(Q23,0)*Inputs!$C$7</f>
        <v>0</v>
      </c>
    </row>
    <row r="25" spans="1:17">
      <c r="A25" s="2" t="s">
        <v>111</v>
      </c>
      <c r="G25" s="5">
        <f>Inputs!$C$28</f>
        <v>0</v>
      </c>
      <c r="H25" s="5">
        <f>G25*(1+Inputs!$C$29)</f>
        <v>0</v>
      </c>
      <c r="I25" s="5">
        <f>H25*(1+Inputs!$C$29)</f>
        <v>0</v>
      </c>
      <c r="J25" s="5">
        <f>I25*(1+Inputs!$C$29)</f>
        <v>0</v>
      </c>
      <c r="K25" s="5">
        <f>J25*(1+Inputs!$C$29)</f>
        <v>0</v>
      </c>
      <c r="L25" s="5">
        <f>K25*(1+Inputs!$C$29)</f>
        <v>0</v>
      </c>
      <c r="M25" s="5">
        <f>L25*(1+Inputs!$C$29)</f>
        <v>0</v>
      </c>
      <c r="N25" s="5">
        <f>M25*(1+Inputs!$C$29)</f>
        <v>0</v>
      </c>
      <c r="O25" s="5">
        <f>N25*(1+Inputs!$C$29)</f>
        <v>0</v>
      </c>
      <c r="P25" s="5">
        <f>O25*(1+Inputs!$C$29)</f>
        <v>0</v>
      </c>
      <c r="Q25" s="5">
        <f>P25*(1+Inputs!$C$29)</f>
        <v>0</v>
      </c>
    </row>
    <row r="26" spans="1:17">
      <c r="A26" s="2" t="s">
        <v>112</v>
      </c>
      <c r="C26" s="5">
        <v>16960</v>
      </c>
      <c r="D26" s="5">
        <v>17121</v>
      </c>
      <c r="E26" s="5">
        <v>21332</v>
      </c>
      <c r="F26" s="5">
        <v>23953</v>
      </c>
      <c r="G26" s="5">
        <v>27546</v>
      </c>
      <c r="H26" s="5">
        <f>H23-H24+H25</f>
        <v>0</v>
      </c>
      <c r="I26" s="5">
        <f>I23-I24+I25</f>
        <v>0</v>
      </c>
      <c r="J26" s="5">
        <f>J23-J24+J25</f>
        <v>0</v>
      </c>
      <c r="K26" s="5">
        <f>K23-K24+K25</f>
        <v>0</v>
      </c>
      <c r="L26" s="5">
        <f>L23-L24+L25</f>
        <v>0</v>
      </c>
      <c r="M26" s="5">
        <f>M23-M24+M25</f>
        <v>0</v>
      </c>
      <c r="N26" s="5">
        <f>N23-N24+N25</f>
        <v>0</v>
      </c>
      <c r="O26" s="5">
        <f>O23-O24+O25</f>
        <v>0</v>
      </c>
      <c r="P26" s="5">
        <f>P23-P24+P25</f>
        <v>0</v>
      </c>
      <c r="Q26" s="5">
        <f>Q23-Q24+Q25</f>
        <v>0</v>
      </c>
    </row>
    <row r="27" spans="1:17">
      <c r="A27" s="2" t="s">
        <v>113</v>
      </c>
      <c r="H27" s="5">
        <f>(H23-H24)*(Inputs!$C$18/($G38+$G39+Inputs!$C$18))</f>
        <v>0</v>
      </c>
      <c r="I27" s="5">
        <f>(I23-I24)*(Inputs!$C$18/($G38+$G39+Inputs!$C$18))</f>
        <v>0</v>
      </c>
      <c r="J27" s="5">
        <f>(J23-J24)*(Inputs!$C$18/($G38+$G39+Inputs!$C$18))</f>
        <v>0</v>
      </c>
      <c r="K27" s="5">
        <f>(K23-K24)*(Inputs!$C$18/($G38+$G39+Inputs!$C$18))</f>
        <v>0</v>
      </c>
      <c r="L27" s="5">
        <f>(L23-L24)*(Inputs!$C$18/($G38+$G39+Inputs!$C$18))</f>
        <v>0</v>
      </c>
      <c r="M27" s="5">
        <f>(M23-M24)*(Inputs!$C$18/($G38+$G39+Inputs!$C$18))</f>
        <v>0</v>
      </c>
      <c r="N27" s="5">
        <f>(N23-N24)*(Inputs!$C$18/($G38+$G39+Inputs!$C$18))</f>
        <v>0</v>
      </c>
      <c r="O27" s="5">
        <f>(O23-O24)*(Inputs!$C$18/($G38+$G39+Inputs!$C$18))</f>
        <v>0</v>
      </c>
      <c r="P27" s="5">
        <f>(P23-P24)*(Inputs!$C$18/($G38+$G39+Inputs!$C$18))</f>
        <v>0</v>
      </c>
      <c r="Q27" s="5">
        <f>(Q23-Q24)*(Inputs!$C$18/($G38+$G39+Inputs!$C$18))</f>
        <v>0</v>
      </c>
    </row>
    <row r="28" spans="1:17">
      <c r="A28" s="2" t="s">
        <v>114</v>
      </c>
      <c r="H28" s="5">
        <f>H26-H27</f>
        <v>0</v>
      </c>
      <c r="I28" s="5">
        <f>I26-I27</f>
        <v>0</v>
      </c>
      <c r="J28" s="5">
        <f>J26-J27</f>
        <v>0</v>
      </c>
      <c r="K28" s="5">
        <f>K26-K27</f>
        <v>0</v>
      </c>
      <c r="L28" s="5">
        <f>L26-L27</f>
        <v>0</v>
      </c>
      <c r="M28" s="5">
        <f>M26-M27</f>
        <v>0</v>
      </c>
      <c r="N28" s="5">
        <f>N26-N27</f>
        <v>0</v>
      </c>
      <c r="O28" s="5">
        <f>O26-O27</f>
        <v>0</v>
      </c>
      <c r="P28" s="5">
        <f>P26-P27</f>
        <v>0</v>
      </c>
      <c r="Q28" s="5">
        <f>Q26-Q27</f>
        <v>0</v>
      </c>
    </row>
    <row r="29" spans="1:17">
      <c r="A29" s="2" t="s">
        <v>115</v>
      </c>
      <c r="C29" s="13">
        <f>C26/Inputs!$C$16</f>
        <v>0</v>
      </c>
      <c r="D29" s="13">
        <f>D26/Inputs!$C$16</f>
        <v>0</v>
      </c>
      <c r="E29" s="13">
        <f>E26/Inputs!$C$16</f>
        <v>0</v>
      </c>
      <c r="F29" s="13">
        <f>F26/Inputs!$C$16</f>
        <v>0</v>
      </c>
      <c r="G29" s="13">
        <f>G26/Inputs!$C$16</f>
        <v>0</v>
      </c>
      <c r="H29" s="13">
        <f>H28/Inputs!$C$16</f>
        <v>0</v>
      </c>
      <c r="I29" s="13">
        <f>I28/Inputs!$C$16</f>
        <v>0</v>
      </c>
      <c r="J29" s="13">
        <f>J28/Inputs!$C$16</f>
        <v>0</v>
      </c>
      <c r="K29" s="13">
        <f>K28/Inputs!$C$16</f>
        <v>0</v>
      </c>
      <c r="L29" s="13">
        <f>L28/Inputs!$C$16</f>
        <v>0</v>
      </c>
      <c r="M29" s="13">
        <f>M28/Inputs!$C$16</f>
        <v>0</v>
      </c>
      <c r="N29" s="13">
        <f>N28/Inputs!$C$16</f>
        <v>0</v>
      </c>
      <c r="O29" s="13">
        <f>O28/Inputs!$C$16</f>
        <v>0</v>
      </c>
      <c r="P29" s="13">
        <f>P28/Inputs!$C$16</f>
        <v>0</v>
      </c>
      <c r="Q29" s="13">
        <f>Q28/Inputs!$C$16</f>
        <v>0</v>
      </c>
    </row>
    <row r="30" spans="1:17">
      <c r="A30" s="2" t="s">
        <v>116</v>
      </c>
      <c r="H30" s="5">
        <f>MAX(H28,0)*Inputs!$C$35</f>
        <v>0</v>
      </c>
      <c r="I30" s="5">
        <f>MAX(I28,0)*Inputs!$C$35</f>
        <v>0</v>
      </c>
      <c r="J30" s="5">
        <f>MAX(J28,0)*Inputs!$C$35</f>
        <v>0</v>
      </c>
      <c r="K30" s="5">
        <f>MAX(K28,0)*Inputs!$C$35</f>
        <v>0</v>
      </c>
      <c r="L30" s="5">
        <f>MAX(L28,0)*Inputs!$C$35</f>
        <v>0</v>
      </c>
      <c r="M30" s="5">
        <f>MAX(M28,0)*Inputs!$C$35</f>
        <v>0</v>
      </c>
      <c r="N30" s="5">
        <f>MAX(N28,0)*Inputs!$C$35</f>
        <v>0</v>
      </c>
      <c r="O30" s="5">
        <f>MAX(O28,0)*Inputs!$C$35</f>
        <v>0</v>
      </c>
      <c r="P30" s="5">
        <f>MAX(P28,0)*Inputs!$C$35</f>
        <v>0</v>
      </c>
      <c r="Q30" s="5">
        <f>MAX(Q28,0)*Inputs!$C$35</f>
        <v>0</v>
      </c>
    </row>
    <row r="31" spans="1:17">
      <c r="A31" s="12" t="s">
        <v>90</v>
      </c>
      <c r="B31" s="12"/>
      <c r="C31" s="12"/>
      <c r="D31" s="12"/>
      <c r="E31" s="12"/>
      <c r="F31" s="12"/>
      <c r="G31" s="12"/>
      <c r="H31" s="12"/>
      <c r="I31" s="12"/>
      <c r="J31" s="12"/>
      <c r="K31" s="12"/>
      <c r="L31" s="12"/>
      <c r="M31" s="12"/>
      <c r="N31" s="12"/>
      <c r="O31" s="12"/>
      <c r="P31" s="12"/>
      <c r="Q31" s="12"/>
    </row>
    <row r="32" spans="1:17">
      <c r="A32" s="2" t="s">
        <v>117</v>
      </c>
      <c r="C32" s="5">
        <v>224923</v>
      </c>
      <c r="D32" s="5">
        <v>240424</v>
      </c>
      <c r="E32" s="5">
        <v>258934</v>
      </c>
      <c r="F32" s="5">
        <v>271437</v>
      </c>
      <c r="G32" s="5">
        <v>318697</v>
      </c>
      <c r="H32" s="5">
        <f>G32+H7-H21</f>
        <v>0</v>
      </c>
      <c r="I32" s="5">
        <f>H32+I7-I21</f>
        <v>0</v>
      </c>
      <c r="J32" s="5">
        <f>I32+J7-J21</f>
        <v>0</v>
      </c>
      <c r="K32" s="5">
        <f>J32+K7-K21</f>
        <v>0</v>
      </c>
      <c r="L32" s="5">
        <f>K32+L7-L21</f>
        <v>0</v>
      </c>
      <c r="M32" s="5">
        <f>L32+M7-M21</f>
        <v>0</v>
      </c>
      <c r="N32" s="5">
        <f>M32+N7-N21</f>
        <v>0</v>
      </c>
      <c r="O32" s="5">
        <f>N32+O7-O21</f>
        <v>0</v>
      </c>
      <c r="P32" s="5">
        <f>O32+P7-P21</f>
        <v>0</v>
      </c>
      <c r="Q32" s="5">
        <f>P32+Q7-Q21</f>
        <v>0</v>
      </c>
    </row>
    <row r="33" spans="1:17">
      <c r="A33" s="2" t="s">
        <v>118</v>
      </c>
      <c r="C33" s="5">
        <v>91126</v>
      </c>
      <c r="D33" s="5">
        <v>89179</v>
      </c>
      <c r="E33" s="5">
        <v>87664</v>
      </c>
      <c r="F33" s="5">
        <v>100859</v>
      </c>
      <c r="G33" s="5">
        <v>84957</v>
      </c>
      <c r="H33" s="5">
        <f>G33+H6-H7</f>
        <v>0</v>
      </c>
      <c r="I33" s="5">
        <f>H33+I6-I7</f>
        <v>0</v>
      </c>
      <c r="J33" s="5">
        <f>I33+J6-J7</f>
        <v>0</v>
      </c>
      <c r="K33" s="5">
        <f>J33+K6-K7</f>
        <v>0</v>
      </c>
      <c r="L33" s="5">
        <f>K33+L6-L7</f>
        <v>0</v>
      </c>
      <c r="M33" s="5">
        <f>L33+M6-M7</f>
        <v>0</v>
      </c>
      <c r="N33" s="5">
        <f>M33+N6-N7</f>
        <v>0</v>
      </c>
      <c r="O33" s="5">
        <f>N33+O6-O7</f>
        <v>0</v>
      </c>
      <c r="P33" s="5">
        <f>O33+P6-P7</f>
        <v>0</v>
      </c>
      <c r="Q33" s="5">
        <f>P33+Q6-Q7</f>
        <v>0</v>
      </c>
    </row>
    <row r="34" spans="1:17">
      <c r="A34" s="2" t="s">
        <v>119</v>
      </c>
      <c r="C34" s="5">
        <v>10626</v>
      </c>
      <c r="D34" s="5">
        <v>13935</v>
      </c>
      <c r="E34" s="5">
        <v>15885</v>
      </c>
      <c r="F34" s="5">
        <v>19704</v>
      </c>
      <c r="G34" s="5">
        <v>24180</v>
      </c>
      <c r="H34" s="5">
        <f>G34*(1+Inputs!$C$38)+H25</f>
        <v>0</v>
      </c>
      <c r="I34" s="5">
        <f>H34*(1+Inputs!$C$38)+I25</f>
        <v>0</v>
      </c>
      <c r="J34" s="5">
        <f>I34*(1+Inputs!$C$38)+J25</f>
        <v>0</v>
      </c>
      <c r="K34" s="5">
        <f>J34*(1+Inputs!$C$38)+K25</f>
        <v>0</v>
      </c>
      <c r="L34" s="5">
        <f>K34*(1+Inputs!$C$38)+L25</f>
        <v>0</v>
      </c>
      <c r="M34" s="5">
        <f>L34*(1+Inputs!$C$38)+M25</f>
        <v>0</v>
      </c>
      <c r="N34" s="5">
        <f>M34*(1+Inputs!$C$38)+N25</f>
        <v>0</v>
      </c>
      <c r="O34" s="5">
        <f>N34*(1+Inputs!$C$38)+O25</f>
        <v>0</v>
      </c>
      <c r="P34" s="5">
        <f>O34*(1+Inputs!$C$38)+P25</f>
        <v>0</v>
      </c>
      <c r="Q34" s="5">
        <f>P34*(1+Inputs!$C$38)+Q25</f>
        <v>0</v>
      </c>
    </row>
    <row r="35" spans="1:17">
      <c r="A35" s="2" t="s">
        <v>120</v>
      </c>
      <c r="C35" s="5">
        <v>89156</v>
      </c>
      <c r="D35" s="5">
        <v>103651</v>
      </c>
      <c r="E35" s="5">
        <v>116795</v>
      </c>
      <c r="F35" s="5">
        <v>131733</v>
      </c>
      <c r="G35" s="5">
        <v>130609</v>
      </c>
      <c r="H35" s="5">
        <f>H19*Inputs!$C$36</f>
        <v>0</v>
      </c>
      <c r="I35" s="5">
        <f>I19*Inputs!$C$36</f>
        <v>0</v>
      </c>
      <c r="J35" s="5">
        <f>J19*Inputs!$C$36</f>
        <v>0</v>
      </c>
      <c r="K35" s="5">
        <f>K19*Inputs!$C$36</f>
        <v>0</v>
      </c>
      <c r="L35" s="5">
        <f>L19*Inputs!$C$36</f>
        <v>0</v>
      </c>
      <c r="M35" s="5">
        <f>M19*Inputs!$C$36</f>
        <v>0</v>
      </c>
      <c r="N35" s="5">
        <f>N19*Inputs!$C$36</f>
        <v>0</v>
      </c>
      <c r="O35" s="5">
        <f>O19*Inputs!$C$36</f>
        <v>0</v>
      </c>
      <c r="P35" s="5">
        <f>P19*Inputs!$C$36</f>
        <v>0</v>
      </c>
      <c r="Q35" s="5">
        <f>Q19*Inputs!$C$36</f>
        <v>0</v>
      </c>
    </row>
    <row r="36" spans="1:17">
      <c r="A36" s="2" t="s">
        <v>121</v>
      </c>
      <c r="G36" s="5">
        <v>0</v>
      </c>
      <c r="H36" s="5">
        <f>H51+H52</f>
        <v>0</v>
      </c>
      <c r="I36" s="5">
        <f>I51+I52</f>
        <v>0</v>
      </c>
      <c r="J36" s="5">
        <f>J51+J52</f>
        <v>0</v>
      </c>
      <c r="K36" s="5">
        <f>K51+K52</f>
        <v>0</v>
      </c>
      <c r="L36" s="5">
        <f>L51+L52</f>
        <v>0</v>
      </c>
      <c r="M36" s="5">
        <f>M51+M52</f>
        <v>0</v>
      </c>
      <c r="N36" s="5">
        <f>N51+N52</f>
        <v>0</v>
      </c>
      <c r="O36" s="5">
        <f>O51+O52</f>
        <v>0</v>
      </c>
      <c r="P36" s="5">
        <f>P51+P52</f>
        <v>0</v>
      </c>
      <c r="Q36" s="5">
        <f>Q51+Q52</f>
        <v>0</v>
      </c>
    </row>
    <row r="37" spans="1:17">
      <c r="A37" s="2" t="s">
        <v>122</v>
      </c>
      <c r="C37" s="14">
        <f>C32+C33+C34+C35</f>
        <v>0</v>
      </c>
      <c r="D37" s="14">
        <f>D32+D33+D34+D35</f>
        <v>0</v>
      </c>
      <c r="E37" s="14">
        <f>E32+E33+E34+E35</f>
        <v>0</v>
      </c>
      <c r="F37" s="14">
        <f>F32+F33+F34+F35</f>
        <v>0</v>
      </c>
      <c r="G37" s="14">
        <f>G32+G33+G34+G35+G36</f>
        <v>0</v>
      </c>
      <c r="H37" s="14">
        <f>H32+H33+H34+H35+H36</f>
        <v>0</v>
      </c>
      <c r="I37" s="14">
        <f>I32+I33+I34+I35+I36</f>
        <v>0</v>
      </c>
      <c r="J37" s="14">
        <f>J32+J33+J34+J35+J36</f>
        <v>0</v>
      </c>
      <c r="K37" s="14">
        <f>K32+K33+K34+K35+K36</f>
        <v>0</v>
      </c>
      <c r="L37" s="14">
        <f>L32+L33+L34+L35+L36</f>
        <v>0</v>
      </c>
      <c r="M37" s="14">
        <f>M32+M33+M34+M35+M36</f>
        <v>0</v>
      </c>
      <c r="N37" s="14">
        <f>N32+N33+N34+N35+N36</f>
        <v>0</v>
      </c>
      <c r="O37" s="14">
        <f>O32+O33+O34+O35+O36</f>
        <v>0</v>
      </c>
      <c r="P37" s="14">
        <f>P32+P33+P34+P35+P36</f>
        <v>0</v>
      </c>
      <c r="Q37" s="14">
        <f>Q32+Q33+Q34+Q35+Q36</f>
        <v>0</v>
      </c>
    </row>
    <row r="38" spans="1:17">
      <c r="A38" s="2" t="s">
        <v>123</v>
      </c>
      <c r="C38" s="5">
        <v>9697</v>
      </c>
      <c r="D38" s="5">
        <v>9697</v>
      </c>
      <c r="E38" s="5">
        <v>9697</v>
      </c>
      <c r="F38" s="5">
        <v>9697</v>
      </c>
      <c r="G38" s="5">
        <v>9697</v>
      </c>
      <c r="H38" s="5">
        <f>G38</f>
        <v>0</v>
      </c>
      <c r="I38" s="5">
        <f>H38</f>
        <v>0</v>
      </c>
      <c r="J38" s="5">
        <f>I38</f>
        <v>0</v>
      </c>
      <c r="K38" s="5">
        <f>J38</f>
        <v>0</v>
      </c>
      <c r="L38" s="5">
        <f>K38</f>
        <v>0</v>
      </c>
      <c r="M38" s="5">
        <f>L38</f>
        <v>0</v>
      </c>
      <c r="N38" s="5">
        <f>M38</f>
        <v>0</v>
      </c>
      <c r="O38" s="5">
        <f>N38</f>
        <v>0</v>
      </c>
      <c r="P38" s="5">
        <f>O38</f>
        <v>0</v>
      </c>
      <c r="Q38" s="5">
        <f>P38</f>
        <v>0</v>
      </c>
    </row>
    <row r="39" spans="1:17">
      <c r="A39" s="2" t="s">
        <v>124</v>
      </c>
      <c r="C39" s="5">
        <v>125677</v>
      </c>
      <c r="D39" s="5">
        <v>137326</v>
      </c>
      <c r="E39" s="5">
        <v>151013</v>
      </c>
      <c r="F39" s="5">
        <v>174374</v>
      </c>
      <c r="G39" s="5">
        <v>193479</v>
      </c>
      <c r="H39" s="5">
        <f>G39+H28-H30</f>
        <v>0</v>
      </c>
      <c r="I39" s="5">
        <f>H39+I28-I30</f>
        <v>0</v>
      </c>
      <c r="J39" s="5">
        <f>I39+J28-J30</f>
        <v>0</v>
      </c>
      <c r="K39" s="5">
        <f>J39+K28-K30</f>
        <v>0</v>
      </c>
      <c r="L39" s="5">
        <f>K39+L28-L30</f>
        <v>0</v>
      </c>
      <c r="M39" s="5">
        <f>L39+M28-M30</f>
        <v>0</v>
      </c>
      <c r="N39" s="5">
        <f>M39+N28-N30</f>
        <v>0</v>
      </c>
      <c r="O39" s="5">
        <f>N39+O28-O30</f>
        <v>0</v>
      </c>
      <c r="P39" s="5">
        <f>O39+P28-P30</f>
        <v>0</v>
      </c>
      <c r="Q39" s="5">
        <f>P39+Q28-Q30</f>
        <v>0</v>
      </c>
    </row>
    <row r="40" spans="1:17">
      <c r="A40" s="2" t="s">
        <v>125</v>
      </c>
      <c r="G40" s="5">
        <f>Inputs!$C$18</f>
        <v>0</v>
      </c>
      <c r="H40" s="5">
        <f>G40+H27</f>
        <v>0</v>
      </c>
      <c r="I40" s="5">
        <f>H40+I27</f>
        <v>0</v>
      </c>
      <c r="J40" s="5">
        <f>I40+J27</f>
        <v>0</v>
      </c>
      <c r="K40" s="5">
        <f>J40+K27</f>
        <v>0</v>
      </c>
      <c r="L40" s="5">
        <f>K40+L27</f>
        <v>0</v>
      </c>
      <c r="M40" s="5">
        <f>L40+M27</f>
        <v>0</v>
      </c>
      <c r="N40" s="5">
        <f>M40+N27</f>
        <v>0</v>
      </c>
      <c r="O40" s="5">
        <f>N40+O27</f>
        <v>0</v>
      </c>
      <c r="P40" s="5">
        <f>O40+P27</f>
        <v>0</v>
      </c>
      <c r="Q40" s="5">
        <f>P40+Q27</f>
        <v>0</v>
      </c>
    </row>
    <row r="41" spans="1:17">
      <c r="A41" s="2" t="s">
        <v>126</v>
      </c>
      <c r="C41" s="5">
        <v>210707</v>
      </c>
      <c r="D41" s="5">
        <v>222913</v>
      </c>
      <c r="E41" s="5">
        <v>237131</v>
      </c>
      <c r="F41" s="5">
        <v>250096</v>
      </c>
      <c r="G41" s="5">
        <v>271005</v>
      </c>
      <c r="H41" s="5">
        <f>G41+H6*Inputs!$C$33</f>
        <v>0</v>
      </c>
      <c r="I41" s="5">
        <f>H41+I6*Inputs!$C$33</f>
        <v>0</v>
      </c>
      <c r="J41" s="5">
        <f>I41+J6*Inputs!$C$33</f>
        <v>0</v>
      </c>
      <c r="K41" s="5">
        <f>J41+K6*Inputs!$C$33</f>
        <v>0</v>
      </c>
      <c r="L41" s="5">
        <f>K41+L6*Inputs!$C$33</f>
        <v>0</v>
      </c>
      <c r="M41" s="5">
        <f>L41+M6*Inputs!$C$33</f>
        <v>0</v>
      </c>
      <c r="N41" s="5">
        <f>M41+N6*Inputs!$C$33</f>
        <v>0</v>
      </c>
      <c r="O41" s="5">
        <f>N41+O6*Inputs!$C$33</f>
        <v>0</v>
      </c>
      <c r="P41" s="5">
        <f>O41+P6*Inputs!$C$33</f>
        <v>0</v>
      </c>
      <c r="Q41" s="5">
        <f>P41+Q6*Inputs!$C$33</f>
        <v>0</v>
      </c>
    </row>
    <row r="42" spans="1:17">
      <c r="A42" s="2" t="s">
        <v>127</v>
      </c>
      <c r="G42" s="5">
        <v>0</v>
      </c>
      <c r="H42" s="5">
        <f>G42+H52</f>
        <v>0</v>
      </c>
      <c r="I42" s="5">
        <f>H42+I52</f>
        <v>0</v>
      </c>
      <c r="J42" s="5">
        <f>I42+J52</f>
        <v>0</v>
      </c>
      <c r="K42" s="5">
        <f>J42+K52</f>
        <v>0</v>
      </c>
      <c r="L42" s="5">
        <f>K42+L52</f>
        <v>0</v>
      </c>
      <c r="M42" s="5">
        <f>L42+M52</f>
        <v>0</v>
      </c>
      <c r="N42" s="5">
        <f>M42+N52</f>
        <v>0</v>
      </c>
      <c r="O42" s="5">
        <f>N42+O52</f>
        <v>0</v>
      </c>
      <c r="P42" s="5">
        <f>O42+P52</f>
        <v>0</v>
      </c>
      <c r="Q42" s="5">
        <f>P42+Q52</f>
        <v>0</v>
      </c>
    </row>
    <row r="43" spans="1:17">
      <c r="A43" s="2" t="s">
        <v>128</v>
      </c>
      <c r="C43" s="5">
        <v>69751</v>
      </c>
      <c r="D43" s="5">
        <v>77253</v>
      </c>
      <c r="E43" s="5">
        <v>81437</v>
      </c>
      <c r="F43" s="5">
        <v>89565</v>
      </c>
      <c r="G43" s="5">
        <f>84262.0-Inputs!$C$18</f>
        <v>0</v>
      </c>
      <c r="H43" s="5">
        <f>H19*Inputs!$C$37</f>
        <v>0</v>
      </c>
      <c r="I43" s="5">
        <f>I19*Inputs!$C$37</f>
        <v>0</v>
      </c>
      <c r="J43" s="5">
        <f>J19*Inputs!$C$37</f>
        <v>0</v>
      </c>
      <c r="K43" s="5">
        <f>K19*Inputs!$C$37</f>
        <v>0</v>
      </c>
      <c r="L43" s="5">
        <f>L19*Inputs!$C$37</f>
        <v>0</v>
      </c>
      <c r="M43" s="5">
        <f>M19*Inputs!$C$37</f>
        <v>0</v>
      </c>
      <c r="N43" s="5">
        <f>N19*Inputs!$C$37</f>
        <v>0</v>
      </c>
      <c r="O43" s="5">
        <f>O19*Inputs!$C$37</f>
        <v>0</v>
      </c>
      <c r="P43" s="5">
        <f>P19*Inputs!$C$37</f>
        <v>0</v>
      </c>
      <c r="Q43" s="5">
        <f>Q19*Inputs!$C$37</f>
        <v>0</v>
      </c>
    </row>
    <row r="44" spans="1:17">
      <c r="A44" s="2" t="s">
        <v>129</v>
      </c>
      <c r="C44" s="14">
        <f>C38+C39+C40+C41+C42+C43</f>
        <v>0</v>
      </c>
      <c r="D44" s="14">
        <f>D38+D39+D40+D41+D42+D43</f>
        <v>0</v>
      </c>
      <c r="E44" s="14">
        <f>E38+E39+E40+E41+E42+E43</f>
        <v>0</v>
      </c>
      <c r="F44" s="14">
        <f>F38+F39+F40+F41+F42+F43</f>
        <v>0</v>
      </c>
      <c r="G44" s="14">
        <f>G38+G39+G40+G41+G42+G43</f>
        <v>0</v>
      </c>
      <c r="H44" s="14">
        <f>H38+H39+H40+H41+H42+H43</f>
        <v>0</v>
      </c>
      <c r="I44" s="14">
        <f>I38+I39+I40+I41+I42+I43</f>
        <v>0</v>
      </c>
      <c r="J44" s="14">
        <f>J38+J39+J40+J41+J42+J43</f>
        <v>0</v>
      </c>
      <c r="K44" s="14">
        <f>K38+K39+K40+K41+K42+K43</f>
        <v>0</v>
      </c>
      <c r="L44" s="14">
        <f>L38+L39+L40+L41+L42+L43</f>
        <v>0</v>
      </c>
      <c r="M44" s="14">
        <f>M38+M39+M40+M41+M42+M43</f>
        <v>0</v>
      </c>
      <c r="N44" s="14">
        <f>N38+N39+N40+N41+N42+N43</f>
        <v>0</v>
      </c>
      <c r="O44" s="14">
        <f>O38+O39+O40+O41+O42+O43</f>
        <v>0</v>
      </c>
      <c r="P44" s="14">
        <f>P38+P39+P40+P41+P42+P43</f>
        <v>0</v>
      </c>
      <c r="Q44" s="14">
        <f>Q38+Q39+Q40+Q41+Q42+Q43</f>
        <v>0</v>
      </c>
    </row>
    <row r="45" spans="1:17">
      <c r="A45" s="2" t="s">
        <v>130</v>
      </c>
      <c r="C45" s="15">
        <f>IF(ABS(C37-C44)&lt;2,0,C37-C44)</f>
        <v>0</v>
      </c>
      <c r="D45" s="15">
        <f>IF(ABS(D37-D44)&lt;2,0,D37-D44)</f>
        <v>0</v>
      </c>
      <c r="E45" s="15">
        <f>IF(ABS(E37-E44)&lt;2,0,E37-E44)</f>
        <v>0</v>
      </c>
      <c r="F45" s="15">
        <f>IF(ABS(F37-F44)&lt;2,0,F37-F44)</f>
        <v>0</v>
      </c>
      <c r="G45" s="15">
        <f>IF(ABS(G37-G44)&lt;2,0,G37-G44)</f>
        <v>0</v>
      </c>
      <c r="H45" s="15">
        <f>ROUND(H37-H44,4)</f>
        <v>0</v>
      </c>
      <c r="I45" s="15">
        <f>ROUND(I37-I44,4)</f>
        <v>0</v>
      </c>
      <c r="J45" s="15">
        <f>ROUND(J37-J44,4)</f>
        <v>0</v>
      </c>
      <c r="K45" s="15">
        <f>ROUND(K37-K44,4)</f>
        <v>0</v>
      </c>
      <c r="L45" s="15">
        <f>ROUND(L37-L44,4)</f>
        <v>0</v>
      </c>
      <c r="M45" s="15">
        <f>ROUND(M37-M44,4)</f>
        <v>0</v>
      </c>
      <c r="N45" s="15">
        <f>ROUND(N37-N44,4)</f>
        <v>0</v>
      </c>
      <c r="O45" s="15">
        <f>ROUND(O37-O44,4)</f>
        <v>0</v>
      </c>
      <c r="P45" s="15">
        <f>ROUND(P37-P44,4)</f>
        <v>0</v>
      </c>
      <c r="Q45" s="15">
        <f>ROUND(Q37-Q44,4)</f>
        <v>0</v>
      </c>
    </row>
    <row r="46" spans="1:17">
      <c r="A46" s="12" t="s">
        <v>91</v>
      </c>
      <c r="B46" s="12"/>
      <c r="C46" s="12"/>
      <c r="D46" s="12"/>
      <c r="E46" s="12"/>
      <c r="F46" s="12"/>
      <c r="G46" s="12"/>
      <c r="H46" s="12"/>
      <c r="I46" s="12"/>
      <c r="J46" s="12"/>
      <c r="K46" s="12"/>
      <c r="L46" s="12"/>
      <c r="M46" s="12"/>
      <c r="N46" s="12"/>
      <c r="O46" s="12"/>
      <c r="P46" s="12"/>
      <c r="Q46" s="12"/>
    </row>
    <row r="47" spans="1:17">
      <c r="A47" s="2" t="s">
        <v>131</v>
      </c>
      <c r="H47" s="5">
        <f>(H35-H43)-(G35-G43)</f>
        <v>0</v>
      </c>
      <c r="I47" s="5">
        <f>(I35-I43)-(H35-H43)</f>
        <v>0</v>
      </c>
      <c r="J47" s="5">
        <f>(J35-J43)-(I35-I43)</f>
        <v>0</v>
      </c>
      <c r="K47" s="5">
        <f>(K35-K43)-(J35-J43)</f>
        <v>0</v>
      </c>
      <c r="L47" s="5">
        <f>(L35-L43)-(K35-K43)</f>
        <v>0</v>
      </c>
      <c r="M47" s="5">
        <f>(M35-M43)-(L35-L43)</f>
        <v>0</v>
      </c>
      <c r="N47" s="5">
        <f>(N35-N43)-(M35-M43)</f>
        <v>0</v>
      </c>
      <c r="O47" s="5">
        <f>(O35-O43)-(N35-N43)</f>
        <v>0</v>
      </c>
      <c r="P47" s="5">
        <f>(P35-P43)-(O35-O43)</f>
        <v>0</v>
      </c>
      <c r="Q47" s="5">
        <f>(Q35-Q43)-(P35-P43)</f>
        <v>0</v>
      </c>
    </row>
    <row r="48" spans="1:17">
      <c r="A48" s="2" t="s">
        <v>132</v>
      </c>
      <c r="C48" s="5">
        <v>41788</v>
      </c>
      <c r="D48" s="5">
        <v>47152</v>
      </c>
      <c r="E48" s="5">
        <v>40099</v>
      </c>
      <c r="F48" s="5">
        <v>50488</v>
      </c>
      <c r="G48" s="5">
        <v>50902</v>
      </c>
      <c r="H48" s="5">
        <f>H26-H25+H21-H47</f>
        <v>0</v>
      </c>
      <c r="I48" s="5">
        <f>I26-I25+I21-I47</f>
        <v>0</v>
      </c>
      <c r="J48" s="5">
        <f>J26-J25+J21-J47</f>
        <v>0</v>
      </c>
      <c r="K48" s="5">
        <f>K26-K25+K21-K47</f>
        <v>0</v>
      </c>
      <c r="L48" s="5">
        <f>L26-L25+L21-L47</f>
        <v>0</v>
      </c>
      <c r="M48" s="5">
        <f>M26-M25+M21-M47</f>
        <v>0</v>
      </c>
      <c r="N48" s="5">
        <f>N26-N25+N21-N47</f>
        <v>0</v>
      </c>
      <c r="O48" s="5">
        <f>O26-O25+O21-O47</f>
        <v>0</v>
      </c>
      <c r="P48" s="5">
        <f>P26-P25+P21-P47</f>
        <v>0</v>
      </c>
      <c r="Q48" s="5">
        <f>Q26-Q25+Q21-Q47</f>
        <v>0</v>
      </c>
    </row>
    <row r="49" spans="1:17">
      <c r="A49" s="2" t="s">
        <v>133</v>
      </c>
      <c r="C49" s="5">
        <v>-22891</v>
      </c>
      <c r="D49" s="5">
        <v>-26145</v>
      </c>
      <c r="E49" s="5">
        <v>-31456</v>
      </c>
      <c r="F49" s="5">
        <v>-45852</v>
      </c>
      <c r="G49" s="5">
        <v>-37578</v>
      </c>
      <c r="H49" s="5">
        <f>-H6-G34*Inputs!$C$38</f>
        <v>0</v>
      </c>
      <c r="I49" s="5">
        <f>-I6-H34*Inputs!$C$38</f>
        <v>0</v>
      </c>
      <c r="J49" s="5">
        <f>-J6-I34*Inputs!$C$38</f>
        <v>0</v>
      </c>
      <c r="K49" s="5">
        <f>-K6-J34*Inputs!$C$38</f>
        <v>0</v>
      </c>
      <c r="L49" s="5">
        <f>-L6-K34*Inputs!$C$38</f>
        <v>0</v>
      </c>
      <c r="M49" s="5">
        <f>-M6-L34*Inputs!$C$38</f>
        <v>0</v>
      </c>
      <c r="N49" s="5">
        <f>-N6-M34*Inputs!$C$38</f>
        <v>0</v>
      </c>
      <c r="O49" s="5">
        <f>-O6-N34*Inputs!$C$38</f>
        <v>0</v>
      </c>
      <c r="P49" s="5">
        <f>-P6-O34*Inputs!$C$38</f>
        <v>0</v>
      </c>
      <c r="Q49" s="5">
        <f>-Q6-P34*Inputs!$C$38</f>
        <v>0</v>
      </c>
    </row>
    <row r="50" spans="1:17">
      <c r="A50" s="2" t="s">
        <v>134</v>
      </c>
      <c r="H50" s="5">
        <f>H6*Inputs!$C$33-H30</f>
        <v>0</v>
      </c>
      <c r="I50" s="5">
        <f>I6*Inputs!$C$33-I30</f>
        <v>0</v>
      </c>
      <c r="J50" s="5">
        <f>J6*Inputs!$C$33-J30</f>
        <v>0</v>
      </c>
      <c r="K50" s="5">
        <f>K6*Inputs!$C$33-K30</f>
        <v>0</v>
      </c>
      <c r="L50" s="5">
        <f>L6*Inputs!$C$33-L30</f>
        <v>0</v>
      </c>
      <c r="M50" s="5">
        <f>M6*Inputs!$C$33-M30</f>
        <v>0</v>
      </c>
      <c r="N50" s="5">
        <f>N6*Inputs!$C$33-N30</f>
        <v>0</v>
      </c>
      <c r="O50" s="5">
        <f>O6*Inputs!$C$33-O30</f>
        <v>0</v>
      </c>
      <c r="P50" s="5">
        <f>P6*Inputs!$C$33-P30</f>
        <v>0</v>
      </c>
      <c r="Q50" s="5">
        <f>Q6*Inputs!$C$33-Q30</f>
        <v>0</v>
      </c>
    </row>
    <row r="51" spans="1:17">
      <c r="A51" s="2" t="s">
        <v>135</v>
      </c>
      <c r="G51" s="5">
        <v>0</v>
      </c>
      <c r="H51" s="5">
        <f>G36+H48+H49+H50</f>
        <v>0</v>
      </c>
      <c r="I51" s="5">
        <f>H36+I48+I49+I50</f>
        <v>0</v>
      </c>
      <c r="J51" s="5">
        <f>I36+J48+J49+J50</f>
        <v>0</v>
      </c>
      <c r="K51" s="5">
        <f>J36+K48+K49+K50</f>
        <v>0</v>
      </c>
      <c r="L51" s="5">
        <f>K36+L48+L49+L50</f>
        <v>0</v>
      </c>
      <c r="M51" s="5">
        <f>L36+M48+M49+M50</f>
        <v>0</v>
      </c>
      <c r="N51" s="5">
        <f>M36+N48+N49+N50</f>
        <v>0</v>
      </c>
      <c r="O51" s="5">
        <f>N36+O48+O49+O50</f>
        <v>0</v>
      </c>
      <c r="P51" s="5">
        <f>O36+P48+P49+P50</f>
        <v>0</v>
      </c>
      <c r="Q51" s="5">
        <f>P36+Q48+Q49+Q50</f>
        <v>0</v>
      </c>
    </row>
    <row r="52" spans="1:17">
      <c r="A52" s="2" t="s">
        <v>136</v>
      </c>
      <c r="H52" s="5">
        <f>MAX(Inputs!$C$10-H51,-G42)</f>
        <v>0</v>
      </c>
      <c r="I52" s="5">
        <f>MAX(Inputs!$C$10-I51,-H42)</f>
        <v>0</v>
      </c>
      <c r="J52" s="5">
        <f>MAX(Inputs!$C$10-J51,-I42)</f>
        <v>0</v>
      </c>
      <c r="K52" s="5">
        <f>MAX(Inputs!$C$10-K51,-J42)</f>
        <v>0</v>
      </c>
      <c r="L52" s="5">
        <f>MAX(Inputs!$C$10-L51,-K42)</f>
        <v>0</v>
      </c>
      <c r="M52" s="5">
        <f>MAX(Inputs!$C$10-M51,-L42)</f>
        <v>0</v>
      </c>
      <c r="N52" s="5">
        <f>MAX(Inputs!$C$10-N51,-M42)</f>
        <v>0</v>
      </c>
      <c r="O52" s="5">
        <f>MAX(Inputs!$C$10-O51,-N42)</f>
        <v>0</v>
      </c>
      <c r="P52" s="5">
        <f>MAX(Inputs!$C$10-P51,-O42)</f>
        <v>0</v>
      </c>
      <c r="Q52" s="5">
        <f>MAX(Inputs!$C$10-Q51,-P42)</f>
        <v>0</v>
      </c>
    </row>
    <row r="53" spans="1:17">
      <c r="A53" s="2" t="s">
        <v>137</v>
      </c>
      <c r="C53" s="5">
        <v>-19172</v>
      </c>
      <c r="D53" s="5">
        <v>-21217</v>
      </c>
      <c r="E53" s="5">
        <v>-8246</v>
      </c>
      <c r="F53" s="5">
        <v>-4073</v>
      </c>
      <c r="G53" s="5">
        <v>-11328</v>
      </c>
      <c r="H53" s="5">
        <f>H50+H52</f>
        <v>0</v>
      </c>
      <c r="I53" s="5">
        <f>I50+I52</f>
        <v>0</v>
      </c>
      <c r="J53" s="5">
        <f>J50+J52</f>
        <v>0</v>
      </c>
      <c r="K53" s="5">
        <f>K50+K52</f>
        <v>0</v>
      </c>
      <c r="L53" s="5">
        <f>L50+L52</f>
        <v>0</v>
      </c>
      <c r="M53" s="5">
        <f>M50+M52</f>
        <v>0</v>
      </c>
      <c r="N53" s="5">
        <f>N50+N52</f>
        <v>0</v>
      </c>
      <c r="O53" s="5">
        <f>O50+O52</f>
        <v>0</v>
      </c>
      <c r="P53" s="5">
        <f>P50+P52</f>
        <v>0</v>
      </c>
      <c r="Q53" s="5">
        <f>Q50+Q52</f>
        <v>0</v>
      </c>
    </row>
    <row r="54" spans="1:17">
      <c r="A54" s="12" t="s">
        <v>92</v>
      </c>
      <c r="B54" s="12"/>
      <c r="C54" s="12"/>
      <c r="D54" s="12"/>
      <c r="E54" s="12"/>
      <c r="F54" s="12"/>
      <c r="G54" s="12"/>
      <c r="H54" s="12"/>
      <c r="I54" s="12"/>
      <c r="J54" s="12"/>
      <c r="K54" s="12"/>
      <c r="L54" s="12"/>
      <c r="M54" s="12"/>
      <c r="N54" s="12"/>
      <c r="O54" s="12"/>
      <c r="P54" s="12"/>
      <c r="Q54" s="12"/>
    </row>
    <row r="55" spans="1:17">
      <c r="A55" s="2" t="s">
        <v>138</v>
      </c>
      <c r="C55" s="11">
        <f>C41/C16</f>
        <v>0</v>
      </c>
      <c r="D55" s="11">
        <f>D41/D16</f>
        <v>0</v>
      </c>
      <c r="E55" s="11">
        <f>E41/E16</f>
        <v>0</v>
      </c>
      <c r="F55" s="11">
        <f>F41/F16</f>
        <v>0</v>
      </c>
      <c r="G55" s="11">
        <f>G41/G16</f>
        <v>0</v>
      </c>
      <c r="H55" s="11">
        <f>(H41+H42-H36)/H16</f>
        <v>0</v>
      </c>
      <c r="I55" s="11">
        <f>(I41+I42-I36)/I16</f>
        <v>0</v>
      </c>
      <c r="J55" s="11">
        <f>(J41+J42-J36)/J16</f>
        <v>0</v>
      </c>
      <c r="K55" s="11">
        <f>(K41+K42-K36)/K16</f>
        <v>0</v>
      </c>
      <c r="L55" s="11">
        <f>(L41+L42-L36)/L16</f>
        <v>0</v>
      </c>
      <c r="M55" s="11">
        <f>(M41+M42-M36)/M16</f>
        <v>0</v>
      </c>
      <c r="N55" s="11">
        <f>(N41+N42-N36)/N16</f>
        <v>0</v>
      </c>
      <c r="O55" s="11">
        <f>(O41+O42-O36)/O16</f>
        <v>0</v>
      </c>
      <c r="P55" s="11">
        <f>(P41+P42-P36)/P16</f>
        <v>0</v>
      </c>
      <c r="Q55" s="11">
        <f>(Q41+Q42-Q36)/Q16</f>
        <v>0</v>
      </c>
    </row>
    <row r="56" spans="1:17">
      <c r="A56" s="2" t="s">
        <v>139</v>
      </c>
      <c r="H56" s="6">
        <f>H28/((H38+H39+G38+G39)/2)</f>
        <v>0</v>
      </c>
      <c r="I56" s="6">
        <f>I28/((I38+I39+H38+H39)/2)</f>
        <v>0</v>
      </c>
      <c r="J56" s="6">
        <f>J28/((J38+J39+I38+I39)/2)</f>
        <v>0</v>
      </c>
      <c r="K56" s="6">
        <f>K28/((K38+K39+J38+J39)/2)</f>
        <v>0</v>
      </c>
      <c r="L56" s="6">
        <f>L28/((L38+L39+K38+K39)/2)</f>
        <v>0</v>
      </c>
      <c r="M56" s="6">
        <f>M28/((M38+M39+L38+L39)/2)</f>
        <v>0</v>
      </c>
      <c r="N56" s="6">
        <f>N28/((N38+N39+M38+M39)/2)</f>
        <v>0</v>
      </c>
      <c r="O56" s="6">
        <f>O28/((O38+O39+N38+N39)/2)</f>
        <v>0</v>
      </c>
      <c r="P56" s="6">
        <f>P28/((P38+P39+O38+O39)/2)</f>
        <v>0</v>
      </c>
      <c r="Q56" s="6">
        <f>Q28/((Q38+Q39+P38+P39)/2)</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51"/>
  <sheetViews>
    <sheetView showGridLines="0" workbookViewId="0"/>
  </sheetViews>
  <sheetFormatPr defaultRowHeight="15"/>
  <cols>
    <col min="1" max="1" width="40.7109375" customWidth="1"/>
    <col min="2" max="2" width="8.7109375" customWidth="1"/>
    <col min="3" max="17" width="11.7109375" customWidth="1"/>
  </cols>
  <sheetData>
    <row r="1" spans="1:12">
      <c r="A1" s="1" t="s">
        <v>140</v>
      </c>
    </row>
    <row r="3" spans="1:12">
      <c r="A3" s="3" t="s">
        <v>141</v>
      </c>
      <c r="B3" s="3"/>
      <c r="C3" s="3" t="s">
        <v>2</v>
      </c>
    </row>
    <row r="4" spans="1:12">
      <c r="A4" s="2" t="s">
        <v>142</v>
      </c>
      <c r="C4" s="6">
        <f>Inputs!$C$4-Inputs!$C$5</f>
        <v>0</v>
      </c>
    </row>
    <row r="5" spans="1:12">
      <c r="A5" s="2" t="s">
        <v>143</v>
      </c>
      <c r="C5" s="13">
        <f>0.67*Inputs!$C$11+0.33</f>
        <v>0</v>
      </c>
    </row>
    <row r="6" spans="1:12">
      <c r="A6" s="2" t="s">
        <v>144</v>
      </c>
      <c r="C6" s="6">
        <f>$C$4+$C$5*Inputs!$C$6</f>
        <v>0</v>
      </c>
    </row>
    <row r="7" spans="1:12">
      <c r="A7" s="2" t="s">
        <v>145</v>
      </c>
      <c r="C7" s="6">
        <f>Inputs!$C$12*(1-Inputs!$C$7)</f>
        <v>0</v>
      </c>
    </row>
    <row r="8" spans="1:12">
      <c r="A8" s="2" t="s">
        <v>146</v>
      </c>
      <c r="C8" s="5">
        <f>Model!$G$41</f>
        <v>0</v>
      </c>
    </row>
    <row r="9" spans="1:12">
      <c r="A9" s="2" t="s">
        <v>147</v>
      </c>
      <c r="C9" s="5">
        <f>Inputs!$C$15*Inputs!$C$16</f>
        <v>0</v>
      </c>
    </row>
    <row r="10" spans="1:12">
      <c r="A10" s="2" t="s">
        <v>148</v>
      </c>
      <c r="C10" s="6">
        <f>$C$8/($C$8+$C$9)</f>
        <v>0</v>
      </c>
    </row>
    <row r="11" spans="1:12">
      <c r="A11" s="2" t="s">
        <v>149</v>
      </c>
      <c r="C11" s="6">
        <f>(1-$C$10)*$C$6+$C$10*$C$7</f>
        <v>0</v>
      </c>
    </row>
    <row r="13" spans="1:12">
      <c r="A13" s="3" t="s">
        <v>150</v>
      </c>
      <c r="C13" s="3" t="s">
        <v>77</v>
      </c>
      <c r="D13" s="3" t="s">
        <v>78</v>
      </c>
      <c r="E13" s="3" t="s">
        <v>79</v>
      </c>
      <c r="F13" s="3" t="s">
        <v>80</v>
      </c>
      <c r="G13" s="3" t="s">
        <v>81</v>
      </c>
      <c r="H13" s="3" t="s">
        <v>82</v>
      </c>
      <c r="I13" s="3" t="s">
        <v>83</v>
      </c>
      <c r="J13" s="3" t="s">
        <v>84</v>
      </c>
      <c r="K13" s="3" t="s">
        <v>85</v>
      </c>
      <c r="L13" s="3" t="s">
        <v>86</v>
      </c>
    </row>
    <row r="14" spans="1:12">
      <c r="A14" s="2" t="s">
        <v>151</v>
      </c>
      <c r="C14" s="5">
        <f>(Model!$H$16-Model!$H$21)*(1-Inputs!$C$7)</f>
        <v>0</v>
      </c>
      <c r="D14" s="5">
        <f>(Model!$I$16-Model!$I$21)*(1-Inputs!$C$7)</f>
        <v>0</v>
      </c>
      <c r="E14" s="5">
        <f>(Model!$J$16-Model!$J$21)*(1-Inputs!$C$7)</f>
        <v>0</v>
      </c>
      <c r="F14" s="5">
        <f>(Model!$K$16-Model!$K$21)*(1-Inputs!$C$7)</f>
        <v>0</v>
      </c>
      <c r="G14" s="5">
        <f>(Model!$L$16-Model!$L$21)*(1-Inputs!$C$7)</f>
        <v>0</v>
      </c>
      <c r="H14" s="5">
        <f>(Model!$M$16-Model!$M$21)*(1-Inputs!$C$7)</f>
        <v>0</v>
      </c>
      <c r="I14" s="5">
        <f>(Model!$N$16-Model!$N$21)*(1-Inputs!$C$7)</f>
        <v>0</v>
      </c>
      <c r="J14" s="5">
        <f>(Model!$O$16-Model!$O$21)*(1-Inputs!$C$7)</f>
        <v>0</v>
      </c>
      <c r="K14" s="5">
        <f>(Model!$P$16-Model!$P$21)*(1-Inputs!$C$7)</f>
        <v>0</v>
      </c>
      <c r="L14" s="5">
        <f>(Model!$Q$16-Model!$Q$21)*(1-Inputs!$C$7)</f>
        <v>0</v>
      </c>
    </row>
    <row r="15" spans="1:12">
      <c r="A15" s="2" t="s">
        <v>107</v>
      </c>
      <c r="C15" s="5">
        <f>Model!$H$21</f>
        <v>0</v>
      </c>
      <c r="D15" s="5">
        <f>Model!$I$21</f>
        <v>0</v>
      </c>
      <c r="E15" s="5">
        <f>Model!$J$21</f>
        <v>0</v>
      </c>
      <c r="F15" s="5">
        <f>Model!$K$21</f>
        <v>0</v>
      </c>
      <c r="G15" s="5">
        <f>Model!$L$21</f>
        <v>0</v>
      </c>
      <c r="H15" s="5">
        <f>Model!$M$21</f>
        <v>0</v>
      </c>
      <c r="I15" s="5">
        <f>Model!$N$21</f>
        <v>0</v>
      </c>
      <c r="J15" s="5">
        <f>Model!$O$21</f>
        <v>0</v>
      </c>
      <c r="K15" s="5">
        <f>Model!$P$21</f>
        <v>0</v>
      </c>
      <c r="L15" s="5">
        <f>Model!$Q$21</f>
        <v>0</v>
      </c>
    </row>
    <row r="16" spans="1:12">
      <c r="A16" s="2" t="s">
        <v>94</v>
      </c>
      <c r="C16" s="5">
        <f>-Model!$H$6</f>
        <v>0</v>
      </c>
      <c r="D16" s="5">
        <f>-Model!$I$6</f>
        <v>0</v>
      </c>
      <c r="E16" s="5">
        <f>-Model!$J$6</f>
        <v>0</v>
      </c>
      <c r="F16" s="5">
        <f>-Model!$K$6</f>
        <v>0</v>
      </c>
      <c r="G16" s="5">
        <f>-Model!$L$6</f>
        <v>0</v>
      </c>
      <c r="H16" s="5">
        <f>-Model!$M$6</f>
        <v>0</v>
      </c>
      <c r="I16" s="5">
        <f>-Model!$N$6</f>
        <v>0</v>
      </c>
      <c r="J16" s="5">
        <f>-Model!$O$6</f>
        <v>0</v>
      </c>
      <c r="K16" s="5">
        <f>-Model!$P$6</f>
        <v>0</v>
      </c>
      <c r="L16" s="5">
        <f>-Model!$Q$6</f>
        <v>0</v>
      </c>
    </row>
    <row r="17" spans="1:12">
      <c r="A17" s="2" t="s">
        <v>152</v>
      </c>
      <c r="C17" s="5">
        <f>-Model!$H$47</f>
        <v>0</v>
      </c>
      <c r="D17" s="5">
        <f>-Model!$I$47</f>
        <v>0</v>
      </c>
      <c r="E17" s="5">
        <f>-Model!$J$47</f>
        <v>0</v>
      </c>
      <c r="F17" s="5">
        <f>-Model!$K$47</f>
        <v>0</v>
      </c>
      <c r="G17" s="5">
        <f>-Model!$L$47</f>
        <v>0</v>
      </c>
      <c r="H17" s="5">
        <f>-Model!$M$47</f>
        <v>0</v>
      </c>
      <c r="I17" s="5">
        <f>-Model!$N$47</f>
        <v>0</v>
      </c>
      <c r="J17" s="5">
        <f>-Model!$O$47</f>
        <v>0</v>
      </c>
      <c r="K17" s="5">
        <f>-Model!$P$47</f>
        <v>0</v>
      </c>
      <c r="L17" s="5">
        <f>-Model!$Q$47</f>
        <v>0</v>
      </c>
    </row>
    <row r="18" spans="1:12">
      <c r="A18" s="2" t="s">
        <v>153</v>
      </c>
      <c r="C18" s="14">
        <f>SUM(C14:C17)</f>
        <v>0</v>
      </c>
      <c r="D18" s="14">
        <f>SUM(D14:D17)</f>
        <v>0</v>
      </c>
      <c r="E18" s="14">
        <f>SUM(E14:E17)</f>
        <v>0</v>
      </c>
      <c r="F18" s="14">
        <f>SUM(F14:F17)</f>
        <v>0</v>
      </c>
      <c r="G18" s="14">
        <f>SUM(G14:G17)</f>
        <v>0</v>
      </c>
      <c r="H18" s="14">
        <f>SUM(H14:H17)</f>
        <v>0</v>
      </c>
      <c r="I18" s="14">
        <f>SUM(I14:I17)</f>
        <v>0</v>
      </c>
      <c r="J18" s="14">
        <f>SUM(J14:J17)</f>
        <v>0</v>
      </c>
      <c r="K18" s="14">
        <f>SUM(K14:K17)</f>
        <v>0</v>
      </c>
      <c r="L18" s="14">
        <f>SUM(L14:L17)</f>
        <v>0</v>
      </c>
    </row>
    <row r="19" spans="1:12">
      <c r="A19" s="2" t="s">
        <v>154</v>
      </c>
      <c r="C19" s="5">
        <f>C18*Inputs!$C$8</f>
        <v>0</v>
      </c>
      <c r="D19" s="5">
        <f>D18*1</f>
        <v>0</v>
      </c>
      <c r="E19" s="5">
        <f>E18*1</f>
        <v>0</v>
      </c>
      <c r="F19" s="5">
        <f>F18*1</f>
        <v>0</v>
      </c>
      <c r="G19" s="5">
        <f>G18*1</f>
        <v>0</v>
      </c>
      <c r="H19" s="5">
        <f>H18*1</f>
        <v>0</v>
      </c>
      <c r="I19" s="5">
        <f>I18*1</f>
        <v>0</v>
      </c>
      <c r="J19" s="5">
        <f>J18*1</f>
        <v>0</v>
      </c>
      <c r="K19" s="5">
        <f>K18*1</f>
        <v>0</v>
      </c>
      <c r="L19" s="5">
        <f>L18*1</f>
        <v>0</v>
      </c>
    </row>
    <row r="20" spans="1:12">
      <c r="A20" s="2" t="s">
        <v>155</v>
      </c>
      <c r="C20" s="13">
        <f>Inputs!$C$8+0</f>
        <v>0</v>
      </c>
      <c r="D20" s="13">
        <f>Inputs!$C$8+1</f>
        <v>0</v>
      </c>
      <c r="E20" s="13">
        <f>Inputs!$C$8+2</f>
        <v>0</v>
      </c>
      <c r="F20" s="13">
        <f>Inputs!$C$8+3</f>
        <v>0</v>
      </c>
      <c r="G20" s="13">
        <f>Inputs!$C$8+4</f>
        <v>0</v>
      </c>
      <c r="H20" s="13">
        <f>Inputs!$C$8+5</f>
        <v>0</v>
      </c>
      <c r="I20" s="13">
        <f>Inputs!$C$8+6</f>
        <v>0</v>
      </c>
      <c r="J20" s="13">
        <f>Inputs!$C$8+7</f>
        <v>0</v>
      </c>
      <c r="K20" s="13">
        <f>Inputs!$C$8+8</f>
        <v>0</v>
      </c>
      <c r="L20" s="13">
        <f>Inputs!$C$8+9</f>
        <v>0</v>
      </c>
    </row>
    <row r="21" spans="1:12">
      <c r="A21" s="2" t="s">
        <v>156</v>
      </c>
      <c r="C21" s="13">
        <f>1/(1+DCF!$C$11)^C20</f>
        <v>0</v>
      </c>
      <c r="D21" s="13">
        <f>1/(1+DCF!$C$11)^D20</f>
        <v>0</v>
      </c>
      <c r="E21" s="13">
        <f>1/(1+DCF!$C$11)^E20</f>
        <v>0</v>
      </c>
      <c r="F21" s="13">
        <f>1/(1+DCF!$C$11)^F20</f>
        <v>0</v>
      </c>
      <c r="G21" s="13">
        <f>1/(1+DCF!$C$11)^G20</f>
        <v>0</v>
      </c>
      <c r="H21" s="13">
        <f>1/(1+DCF!$C$11)^H20</f>
        <v>0</v>
      </c>
      <c r="I21" s="13">
        <f>1/(1+DCF!$C$11)^I20</f>
        <v>0</v>
      </c>
      <c r="J21" s="13">
        <f>1/(1+DCF!$C$11)^J20</f>
        <v>0</v>
      </c>
      <c r="K21" s="13">
        <f>1/(1+DCF!$C$11)^K20</f>
        <v>0</v>
      </c>
      <c r="L21" s="13">
        <f>1/(1+DCF!$C$11)^L20</f>
        <v>0</v>
      </c>
    </row>
    <row r="22" spans="1:12">
      <c r="A22" s="2" t="s">
        <v>157</v>
      </c>
      <c r="C22" s="5">
        <f>C19*C21</f>
        <v>0</v>
      </c>
      <c r="D22" s="5">
        <f>D19*D21</f>
        <v>0</v>
      </c>
      <c r="E22" s="5">
        <f>E19*E21</f>
        <v>0</v>
      </c>
      <c r="F22" s="5">
        <f>F19*F21</f>
        <v>0</v>
      </c>
      <c r="G22" s="5">
        <f>G19*G21</f>
        <v>0</v>
      </c>
      <c r="H22" s="5">
        <f>H19*H21</f>
        <v>0</v>
      </c>
      <c r="I22" s="5">
        <f>I19*I21</f>
        <v>0</v>
      </c>
      <c r="J22" s="5">
        <f>J19*J21</f>
        <v>0</v>
      </c>
      <c r="K22" s="5">
        <f>K19*K21</f>
        <v>0</v>
      </c>
      <c r="L22" s="5">
        <f>L19*L21</f>
        <v>0</v>
      </c>
    </row>
    <row r="25" spans="1:12">
      <c r="A25" s="2" t="s">
        <v>158</v>
      </c>
      <c r="C25" s="5">
        <f>SUM(C22:L22)</f>
        <v>0</v>
      </c>
    </row>
    <row r="26" spans="1:12">
      <c r="A26" s="2" t="s">
        <v>159</v>
      </c>
      <c r="C26" s="5">
        <f>L14*(1+Inputs!$C$13)*(1-Inputs!$C$13/Inputs!$C$14)/(DCF!$C$11-Inputs!$C$13)</f>
        <v>0</v>
      </c>
    </row>
    <row r="27" spans="1:12">
      <c r="A27" s="2" t="s">
        <v>160</v>
      </c>
      <c r="C27" s="5">
        <f>$C$26/(1+DCF!$C$11)^L20</f>
        <v>0</v>
      </c>
    </row>
    <row r="28" spans="1:12">
      <c r="A28" s="2" t="s">
        <v>161</v>
      </c>
      <c r="C28" s="14">
        <f>$C$25+$C$27</f>
        <v>0</v>
      </c>
    </row>
    <row r="29" spans="1:12">
      <c r="A29" s="2" t="s">
        <v>162</v>
      </c>
      <c r="C29" s="5">
        <f>-Model!$G$41</f>
        <v>0</v>
      </c>
    </row>
    <row r="30" spans="1:12">
      <c r="A30" s="2" t="s">
        <v>163</v>
      </c>
      <c r="C30" s="5">
        <f>Inputs!$C$17</f>
        <v>0</v>
      </c>
    </row>
    <row r="31" spans="1:12">
      <c r="A31" s="2" t="s">
        <v>164</v>
      </c>
      <c r="C31" s="5">
        <f>Model!$G$34</f>
        <v>0</v>
      </c>
    </row>
    <row r="32" spans="1:12">
      <c r="A32" s="2" t="s">
        <v>165</v>
      </c>
      <c r="C32" s="5">
        <f>-Inputs!$C$18</f>
        <v>0</v>
      </c>
    </row>
    <row r="33" spans="1:7">
      <c r="A33" s="2" t="s">
        <v>166</v>
      </c>
      <c r="C33" s="14">
        <f>SUM($C$28,$C$29,$C$30,$C$31,$C$32)</f>
        <v>0</v>
      </c>
    </row>
    <row r="34" spans="1:7">
      <c r="A34" s="2" t="s">
        <v>167</v>
      </c>
      <c r="C34" s="4">
        <f>$C$33/Inputs!$C$16</f>
        <v>0</v>
      </c>
    </row>
    <row r="35" spans="1:7">
      <c r="A35" s="2" t="s">
        <v>168</v>
      </c>
      <c r="C35" s="6">
        <f>$C$27/$C$28</f>
        <v>0</v>
      </c>
    </row>
    <row r="36" spans="1:7">
      <c r="A36" s="2" t="s">
        <v>169</v>
      </c>
      <c r="C36" s="5">
        <f>$C$34*(1+DCF!$C$6)-Model!$H$30/Inputs!$C$16</f>
        <v>0</v>
      </c>
    </row>
    <row r="37" spans="1:7">
      <c r="A37" s="2" t="s">
        <v>170</v>
      </c>
      <c r="C37" s="5">
        <f>Inputs!$C$19*Model!$H$16</f>
        <v>0</v>
      </c>
    </row>
    <row r="38" spans="1:7">
      <c r="A38" s="2" t="s">
        <v>171</v>
      </c>
      <c r="C38" s="5">
        <f>($C$37-Model!$H$41-Model!$H$42+Inputs!$C$17+Model!$H$36-Model!$H$40)/Inputs!$C$16</f>
        <v>0</v>
      </c>
    </row>
    <row r="39" spans="1:7">
      <c r="A39" s="2" t="s">
        <v>172</v>
      </c>
      <c r="C39" s="5">
        <f>SOTP!$C$30</f>
        <v>0</v>
      </c>
    </row>
    <row r="40" spans="1:7">
      <c r="A40" s="2" t="s">
        <v>173</v>
      </c>
      <c r="C40" s="4">
        <f>$C$39</f>
        <v>0</v>
      </c>
    </row>
    <row r="41" spans="1:7">
      <c r="A41" s="2" t="s">
        <v>174</v>
      </c>
      <c r="C41" s="6">
        <f>$C$40/Inputs!$C$15-1</f>
        <v>0</v>
      </c>
    </row>
    <row r="42" spans="1:7">
      <c r="A42" s="2" t="s">
        <v>175</v>
      </c>
      <c r="C42" s="3">
        <f>IF($C$41&gt;0.15,"BUY",IF($C$41&lt;-0.1,"SELL","HOLD"))</f>
        <v>0</v>
      </c>
    </row>
    <row r="45" spans="1:7">
      <c r="A45" s="3" t="s">
        <v>176</v>
      </c>
    </row>
    <row r="46" spans="1:7">
      <c r="C46" s="8">
        <v>0.04</v>
      </c>
      <c r="D46" s="8">
        <v>0.045</v>
      </c>
      <c r="E46" s="8">
        <v>0.05</v>
      </c>
      <c r="F46" s="8">
        <v>0.055</v>
      </c>
      <c r="G46" s="8">
        <v>0.06</v>
      </c>
    </row>
    <row r="47" spans="1:7">
      <c r="B47" s="6">
        <f>DCF!$C$11+-0.01</f>
        <v>0</v>
      </c>
      <c r="C47" s="5">
        <f>(SUMPRODUCT($C$19:$L$19/(1+$B47)^$C$20:$L$20)+$L$14*(1+C$46)*(1-C$46/Inputs!$C$14)/($B47-C$46)/(1+$B47)^$L$20-Model!$G$41+Inputs!$C$17+Model!$G$34-Inputs!$C$18)/Inputs!$C$16</f>
        <v>0</v>
      </c>
      <c r="D47" s="5">
        <f>(SUMPRODUCT($C$19:$L$19/(1+$B47)^$C$20:$L$20)+$L$14*(1+D$46)*(1-D$46/Inputs!$C$14)/($B47-D$46)/(1+$B47)^$L$20-Model!$G$41+Inputs!$C$17+Model!$G$34-Inputs!$C$18)/Inputs!$C$16</f>
        <v>0</v>
      </c>
      <c r="E47" s="5">
        <f>(SUMPRODUCT($C$19:$L$19/(1+$B47)^$C$20:$L$20)+$L$14*(1+E$46)*(1-E$46/Inputs!$C$14)/($B47-E$46)/(1+$B47)^$L$20-Model!$G$41+Inputs!$C$17+Model!$G$34-Inputs!$C$18)/Inputs!$C$16</f>
        <v>0</v>
      </c>
      <c r="F47" s="5">
        <f>(SUMPRODUCT($C$19:$L$19/(1+$B47)^$C$20:$L$20)+$L$14*(1+F$46)*(1-F$46/Inputs!$C$14)/($B47-F$46)/(1+$B47)^$L$20-Model!$G$41+Inputs!$C$17+Model!$G$34-Inputs!$C$18)/Inputs!$C$16</f>
        <v>0</v>
      </c>
      <c r="G47" s="5">
        <f>(SUMPRODUCT($C$19:$L$19/(1+$B47)^$C$20:$L$20)+$L$14*(1+G$46)*(1-G$46/Inputs!$C$14)/($B47-G$46)/(1+$B47)^$L$20-Model!$G$41+Inputs!$C$17+Model!$G$34-Inputs!$C$18)/Inputs!$C$16</f>
        <v>0</v>
      </c>
    </row>
    <row r="48" spans="1:7">
      <c r="B48" s="6">
        <f>DCF!$C$11+-0.005</f>
        <v>0</v>
      </c>
      <c r="C48" s="5">
        <f>(SUMPRODUCT($C$19:$L$19/(1+$B48)^$C$20:$L$20)+$L$14*(1+C$46)*(1-C$46/Inputs!$C$14)/($B48-C$46)/(1+$B48)^$L$20-Model!$G$41+Inputs!$C$17+Model!$G$34-Inputs!$C$18)/Inputs!$C$16</f>
        <v>0</v>
      </c>
      <c r="D48" s="5">
        <f>(SUMPRODUCT($C$19:$L$19/(1+$B48)^$C$20:$L$20)+$L$14*(1+D$46)*(1-D$46/Inputs!$C$14)/($B48-D$46)/(1+$B48)^$L$20-Model!$G$41+Inputs!$C$17+Model!$G$34-Inputs!$C$18)/Inputs!$C$16</f>
        <v>0</v>
      </c>
      <c r="E48" s="5">
        <f>(SUMPRODUCT($C$19:$L$19/(1+$B48)^$C$20:$L$20)+$L$14*(1+E$46)*(1-E$46/Inputs!$C$14)/($B48-E$46)/(1+$B48)^$L$20-Model!$G$41+Inputs!$C$17+Model!$G$34-Inputs!$C$18)/Inputs!$C$16</f>
        <v>0</v>
      </c>
      <c r="F48" s="5">
        <f>(SUMPRODUCT($C$19:$L$19/(1+$B48)^$C$20:$L$20)+$L$14*(1+F$46)*(1-F$46/Inputs!$C$14)/($B48-F$46)/(1+$B48)^$L$20-Model!$G$41+Inputs!$C$17+Model!$G$34-Inputs!$C$18)/Inputs!$C$16</f>
        <v>0</v>
      </c>
      <c r="G48" s="5">
        <f>(SUMPRODUCT($C$19:$L$19/(1+$B48)^$C$20:$L$20)+$L$14*(1+G$46)*(1-G$46/Inputs!$C$14)/($B48-G$46)/(1+$B48)^$L$20-Model!$G$41+Inputs!$C$17+Model!$G$34-Inputs!$C$18)/Inputs!$C$16</f>
        <v>0</v>
      </c>
    </row>
    <row r="49" spans="2:7">
      <c r="B49" s="6">
        <f>DCF!$C$11+0</f>
        <v>0</v>
      </c>
      <c r="C49" s="5">
        <f>(SUMPRODUCT($C$19:$L$19/(1+$B49)^$C$20:$L$20)+$L$14*(1+C$46)*(1-C$46/Inputs!$C$14)/($B49-C$46)/(1+$B49)^$L$20-Model!$G$41+Inputs!$C$17+Model!$G$34-Inputs!$C$18)/Inputs!$C$16</f>
        <v>0</v>
      </c>
      <c r="D49" s="5">
        <f>(SUMPRODUCT($C$19:$L$19/(1+$B49)^$C$20:$L$20)+$L$14*(1+D$46)*(1-D$46/Inputs!$C$14)/($B49-D$46)/(1+$B49)^$L$20-Model!$G$41+Inputs!$C$17+Model!$G$34-Inputs!$C$18)/Inputs!$C$16</f>
        <v>0</v>
      </c>
      <c r="E49" s="5">
        <f>(SUMPRODUCT($C$19:$L$19/(1+$B49)^$C$20:$L$20)+$L$14*(1+E$46)*(1-E$46/Inputs!$C$14)/($B49-E$46)/(1+$B49)^$L$20-Model!$G$41+Inputs!$C$17+Model!$G$34-Inputs!$C$18)/Inputs!$C$16</f>
        <v>0</v>
      </c>
      <c r="F49" s="5">
        <f>(SUMPRODUCT($C$19:$L$19/(1+$B49)^$C$20:$L$20)+$L$14*(1+F$46)*(1-F$46/Inputs!$C$14)/($B49-F$46)/(1+$B49)^$L$20-Model!$G$41+Inputs!$C$17+Model!$G$34-Inputs!$C$18)/Inputs!$C$16</f>
        <v>0</v>
      </c>
      <c r="G49" s="5">
        <f>(SUMPRODUCT($C$19:$L$19/(1+$B49)^$C$20:$L$20)+$L$14*(1+G$46)*(1-G$46/Inputs!$C$14)/($B49-G$46)/(1+$B49)^$L$20-Model!$G$41+Inputs!$C$17+Model!$G$34-Inputs!$C$18)/Inputs!$C$16</f>
        <v>0</v>
      </c>
    </row>
    <row r="50" spans="2:7">
      <c r="B50" s="6">
        <f>DCF!$C$11+0.005</f>
        <v>0</v>
      </c>
      <c r="C50" s="5">
        <f>(SUMPRODUCT($C$19:$L$19/(1+$B50)^$C$20:$L$20)+$L$14*(1+C$46)*(1-C$46/Inputs!$C$14)/($B50-C$46)/(1+$B50)^$L$20-Model!$G$41+Inputs!$C$17+Model!$G$34-Inputs!$C$18)/Inputs!$C$16</f>
        <v>0</v>
      </c>
      <c r="D50" s="5">
        <f>(SUMPRODUCT($C$19:$L$19/(1+$B50)^$C$20:$L$20)+$L$14*(1+D$46)*(1-D$46/Inputs!$C$14)/($B50-D$46)/(1+$B50)^$L$20-Model!$G$41+Inputs!$C$17+Model!$G$34-Inputs!$C$18)/Inputs!$C$16</f>
        <v>0</v>
      </c>
      <c r="E50" s="5">
        <f>(SUMPRODUCT($C$19:$L$19/(1+$B50)^$C$20:$L$20)+$L$14*(1+E$46)*(1-E$46/Inputs!$C$14)/($B50-E$46)/(1+$B50)^$L$20-Model!$G$41+Inputs!$C$17+Model!$G$34-Inputs!$C$18)/Inputs!$C$16</f>
        <v>0</v>
      </c>
      <c r="F50" s="5">
        <f>(SUMPRODUCT($C$19:$L$19/(1+$B50)^$C$20:$L$20)+$L$14*(1+F$46)*(1-F$46/Inputs!$C$14)/($B50-F$46)/(1+$B50)^$L$20-Model!$G$41+Inputs!$C$17+Model!$G$34-Inputs!$C$18)/Inputs!$C$16</f>
        <v>0</v>
      </c>
      <c r="G50" s="5">
        <f>(SUMPRODUCT($C$19:$L$19/(1+$B50)^$C$20:$L$20)+$L$14*(1+G$46)*(1-G$46/Inputs!$C$14)/($B50-G$46)/(1+$B50)^$L$20-Model!$G$41+Inputs!$C$17+Model!$G$34-Inputs!$C$18)/Inputs!$C$16</f>
        <v>0</v>
      </c>
    </row>
    <row r="51" spans="2:7">
      <c r="B51" s="6">
        <f>DCF!$C$11+0.01</f>
        <v>0</v>
      </c>
      <c r="C51" s="5">
        <f>(SUMPRODUCT($C$19:$L$19/(1+$B51)^$C$20:$L$20)+$L$14*(1+C$46)*(1-C$46/Inputs!$C$14)/($B51-C$46)/(1+$B51)^$L$20-Model!$G$41+Inputs!$C$17+Model!$G$34-Inputs!$C$18)/Inputs!$C$16</f>
        <v>0</v>
      </c>
      <c r="D51" s="5">
        <f>(SUMPRODUCT($C$19:$L$19/(1+$B51)^$C$20:$L$20)+$L$14*(1+D$46)*(1-D$46/Inputs!$C$14)/($B51-D$46)/(1+$B51)^$L$20-Model!$G$41+Inputs!$C$17+Model!$G$34-Inputs!$C$18)/Inputs!$C$16</f>
        <v>0</v>
      </c>
      <c r="E51" s="5">
        <f>(SUMPRODUCT($C$19:$L$19/(1+$B51)^$C$20:$L$20)+$L$14*(1+E$46)*(1-E$46/Inputs!$C$14)/($B51-E$46)/(1+$B51)^$L$20-Model!$G$41+Inputs!$C$17+Model!$G$34-Inputs!$C$18)/Inputs!$C$16</f>
        <v>0</v>
      </c>
      <c r="F51" s="5">
        <f>(SUMPRODUCT($C$19:$L$19/(1+$B51)^$C$20:$L$20)+$L$14*(1+F$46)*(1-F$46/Inputs!$C$14)/($B51-F$46)/(1+$B51)^$L$20-Model!$G$41+Inputs!$C$17+Model!$G$34-Inputs!$C$18)/Inputs!$C$16</f>
        <v>0</v>
      </c>
      <c r="G51" s="5">
        <f>(SUMPRODUCT($C$19:$L$19/(1+$B51)^$C$20:$L$20)+$L$14*(1+G$46)*(1-G$46/Inputs!$C$14)/($B51-G$46)/(1+$B51)^$L$20-Model!$G$41+Inputs!$C$17+Model!$G$34-Inputs!$C$18)/Inputs!$C$16</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32"/>
  <sheetViews>
    <sheetView showGridLines="0" workbookViewId="0"/>
  </sheetViews>
  <sheetFormatPr defaultRowHeight="15"/>
  <cols>
    <col min="1" max="1" width="46.7109375" customWidth="1"/>
    <col min="2" max="2" width="8.7109375" customWidth="1"/>
    <col min="3" max="17" width="11.7109375" customWidth="1"/>
  </cols>
  <sheetData>
    <row r="1" spans="1:12">
      <c r="A1" s="1" t="s">
        <v>177</v>
      </c>
    </row>
    <row r="3" spans="1:12">
      <c r="A3" s="3" t="s">
        <v>178</v>
      </c>
    </row>
    <row r="4" spans="1:12">
      <c r="A4" s="3"/>
      <c r="B4" s="3" t="s">
        <v>179</v>
      </c>
      <c r="C4" s="3" t="s">
        <v>77</v>
      </c>
      <c r="D4" s="3" t="s">
        <v>78</v>
      </c>
      <c r="E4" s="3" t="s">
        <v>79</v>
      </c>
      <c r="F4" s="3" t="s">
        <v>80</v>
      </c>
      <c r="G4" s="3" t="s">
        <v>81</v>
      </c>
      <c r="H4" s="3" t="s">
        <v>82</v>
      </c>
      <c r="I4" s="3" t="s">
        <v>83</v>
      </c>
      <c r="J4" s="3" t="s">
        <v>84</v>
      </c>
      <c r="K4" s="3" t="s">
        <v>85</v>
      </c>
      <c r="L4" s="3" t="s">
        <v>86</v>
      </c>
    </row>
    <row r="5" spans="1:12">
      <c r="A5" s="2" t="s">
        <v>180</v>
      </c>
      <c r="C5" s="5">
        <f>Model!$H$14</f>
        <v>0</v>
      </c>
      <c r="D5" s="5">
        <f>Model!$I$14</f>
        <v>0</v>
      </c>
      <c r="E5" s="5">
        <f>Model!$J$14</f>
        <v>0</v>
      </c>
      <c r="F5" s="5">
        <f>Model!$K$14</f>
        <v>0</v>
      </c>
      <c r="G5" s="5">
        <f>Model!$L$14</f>
        <v>0</v>
      </c>
      <c r="H5" s="5">
        <f>Model!$M$14</f>
        <v>0</v>
      </c>
      <c r="I5" s="5">
        <f>Model!$N$14</f>
        <v>0</v>
      </c>
      <c r="J5" s="5">
        <f>Model!$O$14</f>
        <v>0</v>
      </c>
      <c r="K5" s="5">
        <f>Model!$P$14</f>
        <v>0</v>
      </c>
      <c r="L5" s="5">
        <f>Model!$Q$14</f>
        <v>0</v>
      </c>
    </row>
    <row r="6" spans="1:12">
      <c r="A6" s="2" t="s">
        <v>181</v>
      </c>
      <c r="D6" s="5">
        <f>(Inputs!$C$42-DCF!$C$6)*C5</f>
        <v>0</v>
      </c>
      <c r="E6" s="5">
        <f>(Inputs!$C$42-DCF!$C$6)*D5</f>
        <v>0</v>
      </c>
      <c r="F6" s="5">
        <f>(Inputs!$C$42-DCF!$C$6)*E5</f>
        <v>0</v>
      </c>
      <c r="G6" s="5">
        <f>(Inputs!$C$42-DCF!$C$6)*F5</f>
        <v>0</v>
      </c>
      <c r="H6" s="5">
        <f>(Inputs!$C$42-DCF!$C$6)*G5</f>
        <v>0</v>
      </c>
      <c r="I6" s="5">
        <f>(Inputs!$C$42-DCF!$C$6)*H5</f>
        <v>0</v>
      </c>
      <c r="J6" s="5">
        <f>(Inputs!$C$42-DCF!$C$6)*I5</f>
        <v>0</v>
      </c>
      <c r="K6" s="5">
        <f>(Inputs!$C$42-DCF!$C$6)*J5</f>
        <v>0</v>
      </c>
      <c r="L6" s="5">
        <f>(Inputs!$C$42-DCF!$C$6)*K5</f>
        <v>0</v>
      </c>
    </row>
    <row r="7" spans="1:12">
      <c r="A7" s="2" t="s">
        <v>156</v>
      </c>
      <c r="D7" s="13">
        <f>1/(1+DCF!$C$6)^1</f>
        <v>0</v>
      </c>
      <c r="E7" s="13">
        <f>1/(1+DCF!$C$6)^2</f>
        <v>0</v>
      </c>
      <c r="F7" s="13">
        <f>1/(1+DCF!$C$6)^3</f>
        <v>0</v>
      </c>
      <c r="G7" s="13">
        <f>1/(1+DCF!$C$6)^4</f>
        <v>0</v>
      </c>
      <c r="H7" s="13">
        <f>1/(1+DCF!$C$6)^5</f>
        <v>0</v>
      </c>
      <c r="I7" s="13">
        <f>1/(1+DCF!$C$6)^6</f>
        <v>0</v>
      </c>
      <c r="J7" s="13">
        <f>1/(1+DCF!$C$6)^7</f>
        <v>0</v>
      </c>
      <c r="K7" s="13">
        <f>1/(1+DCF!$C$6)^8</f>
        <v>0</v>
      </c>
      <c r="L7" s="13">
        <f>1/(1+DCF!$C$6)^9</f>
        <v>0</v>
      </c>
    </row>
    <row r="8" spans="1:12">
      <c r="A8" s="2" t="s">
        <v>182</v>
      </c>
      <c r="D8" s="5">
        <f>D6*D7</f>
        <v>0</v>
      </c>
      <c r="E8" s="5">
        <f>E6*E7</f>
        <v>0</v>
      </c>
      <c r="F8" s="5">
        <f>F6*F7</f>
        <v>0</v>
      </c>
      <c r="G8" s="5">
        <f>G6*G7</f>
        <v>0</v>
      </c>
      <c r="H8" s="5">
        <f>H6*H7</f>
        <v>0</v>
      </c>
      <c r="I8" s="5">
        <f>I6*I7</f>
        <v>0</v>
      </c>
      <c r="J8" s="5">
        <f>J6*J7</f>
        <v>0</v>
      </c>
      <c r="K8" s="5">
        <f>K6*K7</f>
        <v>0</v>
      </c>
      <c r="L8" s="5">
        <f>L6*L7</f>
        <v>0</v>
      </c>
    </row>
    <row r="11" spans="1:12">
      <c r="A11" s="2" t="s">
        <v>183</v>
      </c>
      <c r="C11" s="5">
        <f>$C$5</f>
        <v>0</v>
      </c>
    </row>
    <row r="12" spans="1:12">
      <c r="A12" s="2" t="s">
        <v>184</v>
      </c>
      <c r="C12" s="5">
        <f>SUM(D8:L8)</f>
        <v>0</v>
      </c>
    </row>
    <row r="13" spans="1:12">
      <c r="A13" s="2" t="s">
        <v>185</v>
      </c>
      <c r="C13" s="5">
        <f>(Inputs!$C$42-DCF!$C$6)*L5/(DCF!$C$6-Inputs!$C$43)/(1+DCF!$C$6)^9</f>
        <v>0</v>
      </c>
    </row>
    <row r="14" spans="1:12">
      <c r="A14" s="2" t="s">
        <v>186</v>
      </c>
      <c r="C14" s="5">
        <f>SUM(C11:C13)</f>
        <v>0</v>
      </c>
    </row>
    <row r="15" spans="1:12">
      <c r="A15" s="2" t="s">
        <v>187</v>
      </c>
      <c r="C15" s="11">
        <f>C14/C11</f>
        <v>0</v>
      </c>
    </row>
    <row r="16" spans="1:12">
      <c r="A16" s="2" t="s">
        <v>188</v>
      </c>
      <c r="C16" s="5">
        <f>Inputs!$C$41*(1-Inputs!$C$21)*Model!$H$33</f>
        <v>0</v>
      </c>
    </row>
    <row r="17" spans="1:3">
      <c r="A17" s="2" t="s">
        <v>189</v>
      </c>
      <c r="C17" s="5">
        <f>Inputs!$C$45*Inputs!$C$44*(1-Inputs!$C$46)</f>
        <v>0</v>
      </c>
    </row>
    <row r="29" spans="1:3">
      <c r="A29" s="2" t="s">
        <v>190</v>
      </c>
      <c r="C29" s="14">
        <f>C14+C16+C17</f>
        <v>0</v>
      </c>
    </row>
    <row r="30" spans="1:3">
      <c r="A30" s="2" t="s">
        <v>191</v>
      </c>
      <c r="C30" s="4">
        <f>C29/Inputs!$C$16</f>
        <v>0</v>
      </c>
    </row>
    <row r="32" spans="1:3">
      <c r="A32" s="7" t="s">
        <v>192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7"/>
  <sheetViews>
    <sheetView showGridLines="0" workbookViewId="0"/>
  </sheetViews>
  <sheetFormatPr defaultRowHeight="15"/>
  <cols>
    <col min="1" max="2" width="22.7109375" customWidth="1"/>
    <col min="3" max="17" width="11.7109375" customWidth="1"/>
  </cols>
  <sheetData>
    <row r="1" spans="1:10">
      <c r="A1" s="1" t="s">
        <v>203</v>
      </c>
    </row>
    <row r="3" spans="1:10">
      <c r="A3" s="3" t="s">
        <v>204</v>
      </c>
      <c r="B3" s="3" t="s">
        <v>205</v>
      </c>
      <c r="C3" s="3" t="s">
        <v>206</v>
      </c>
      <c r="D3" s="3" t="s">
        <v>207</v>
      </c>
      <c r="E3" s="3" t="s">
        <v>208</v>
      </c>
      <c r="F3" s="3" t="s">
        <v>209</v>
      </c>
      <c r="G3" s="3" t="s">
        <v>210</v>
      </c>
      <c r="H3" s="3" t="s">
        <v>211</v>
      </c>
      <c r="I3" s="3" t="s">
        <v>104</v>
      </c>
      <c r="J3" s="3" t="s">
        <v>212</v>
      </c>
    </row>
    <row r="4" spans="1:10">
      <c r="A4" s="2" t="s">
        <v>213</v>
      </c>
      <c r="B4" s="2" t="s">
        <v>214</v>
      </c>
      <c r="C4" s="5">
        <v>395818.358820125</v>
      </c>
      <c r="D4" s="5">
        <v>449561.838820125</v>
      </c>
      <c r="E4" s="11">
        <v>22.69826511259845</v>
      </c>
      <c r="F4" s="11">
        <v>30.5156394125453</v>
      </c>
      <c r="G4" s="11">
        <v>6.095421082281673</v>
      </c>
      <c r="H4" s="6">
        <v>0.2138946604663434</v>
      </c>
      <c r="I4" s="6">
        <v>0.365148135174499</v>
      </c>
      <c r="J4" s="11">
        <v>2.639525396344542</v>
      </c>
    </row>
    <row r="5" spans="1:10">
      <c r="A5" s="2" t="s">
        <v>193</v>
      </c>
      <c r="B5" s="2" t="s">
        <v>215</v>
      </c>
      <c r="C5" s="5">
        <v>326166.758749358</v>
      </c>
      <c r="D5" s="5">
        <v>598699.468749358</v>
      </c>
      <c r="E5" s="11">
        <v>10.7994420568808</v>
      </c>
      <c r="F5" s="11">
        <v>11.84080297500029</v>
      </c>
      <c r="G5" s="11">
        <v>1.605340979000266</v>
      </c>
      <c r="H5" s="6">
        <v>0.1422657890183784</v>
      </c>
      <c r="I5" s="6">
        <v>0.2958507884836033</v>
      </c>
      <c r="J5" s="11">
        <v>4.772093509866878</v>
      </c>
    </row>
    <row r="6" spans="1:10">
      <c r="A6" s="2" t="s">
        <v>216</v>
      </c>
      <c r="B6" s="2" t="s">
        <v>217</v>
      </c>
      <c r="C6" s="5">
        <v>247442.564604495</v>
      </c>
      <c r="D6" s="5">
        <v>390580.254604495</v>
      </c>
      <c r="E6" s="11">
        <v>11.89669076800874</v>
      </c>
      <c r="F6" s="11">
        <v>15.53506809420486</v>
      </c>
      <c r="G6" s="11">
        <v>2.462262071412174</v>
      </c>
      <c r="H6" s="6">
        <v>0.1649228347924227</v>
      </c>
      <c r="I6" s="6">
        <v>0.7025228425309739</v>
      </c>
      <c r="J6" s="11">
        <v>4.359833389174865</v>
      </c>
    </row>
    <row r="7" spans="1:10">
      <c r="A7" s="2" t="s">
        <v>218</v>
      </c>
      <c r="B7" s="2" t="s">
        <v>219</v>
      </c>
      <c r="C7" s="5">
        <v>222039.345694</v>
      </c>
      <c r="D7" s="5">
        <v>331425.345694</v>
      </c>
      <c r="E7" s="11">
        <v>30.73021285989801</v>
      </c>
      <c r="F7" s="11">
        <v>111.7460219899346</v>
      </c>
      <c r="G7" s="11">
        <v>11.12142978682695</v>
      </c>
      <c r="H7" s="6">
        <v>0.1237929100990592</v>
      </c>
      <c r="I7" s="6">
        <v>0.8342357673267327</v>
      </c>
      <c r="J7" s="11">
        <v>9.223180343069078</v>
      </c>
    </row>
    <row r="8" spans="1:10">
      <c r="A8" s="2" t="s">
        <v>220</v>
      </c>
      <c r="B8" s="2" t="s">
        <v>221</v>
      </c>
      <c r="C8" s="5">
        <v>122077.947393135</v>
      </c>
      <c r="D8" s="5">
        <v>200524.017393135</v>
      </c>
      <c r="E8" s="11">
        <v>15.10994027527202</v>
      </c>
      <c r="F8" s="11">
        <v>23.85266654809203</v>
      </c>
      <c r="G8" s="11">
        <v>3.093086738449756</v>
      </c>
      <c r="H8" s="6">
        <v>0.1359200095606103</v>
      </c>
      <c r="I8" s="6">
        <v>0.2125774880263979</v>
      </c>
      <c r="J8" s="11">
        <v>5.302931956898501</v>
      </c>
    </row>
    <row r="9" spans="1:10">
      <c r="A9" s="2" t="s">
        <v>222</v>
      </c>
      <c r="B9" s="2" t="s">
        <v>223</v>
      </c>
      <c r="C9" s="5">
        <v>102612.884864</v>
      </c>
      <c r="D9" s="5">
        <v>174275.724864</v>
      </c>
      <c r="E9" s="11">
        <v>17.30986540166866</v>
      </c>
      <c r="F9" s="11">
        <v>37.15165997972484</v>
      </c>
      <c r="G9" s="11">
        <v>3.336895868882313</v>
      </c>
      <c r="H9" s="6">
        <v>0.0950578193832599</v>
      </c>
      <c r="I9" s="6">
        <v>0.532670229088408</v>
      </c>
      <c r="J9" s="11">
        <v>6.837205999205404</v>
      </c>
    </row>
    <row r="10" spans="1:10">
      <c r="A10" s="2" t="s">
        <v>224</v>
      </c>
      <c r="B10" s="2" t="s">
        <v>225</v>
      </c>
      <c r="C10" s="5">
        <v>77246.31765045</v>
      </c>
      <c r="D10" s="5">
        <v>133013.43765045</v>
      </c>
      <c r="E10" s="11">
        <v>32.46605751780572</v>
      </c>
      <c r="F10" s="11">
        <v>18.30481460911138</v>
      </c>
      <c r="G10" s="11">
        <v>1.864187022478703</v>
      </c>
      <c r="H10" s="6">
        <v>0.1040626348560508</v>
      </c>
      <c r="I10" s="6">
        <v>0.3527335342229875</v>
      </c>
      <c r="J10" s="11">
        <v>11.9110202587259</v>
      </c>
    </row>
    <row r="11" spans="1:10">
      <c r="A11" s="2" t="s">
        <v>226</v>
      </c>
      <c r="B11" s="2" t="s">
        <v>221</v>
      </c>
      <c r="C11" s="5">
        <v>65966.01281412999</v>
      </c>
      <c r="D11" s="5">
        <v>78251.02281412999</v>
      </c>
      <c r="E11" s="11">
        <v>14.03102435254258</v>
      </c>
      <c r="F11" s="11">
        <v>26.71770466347914</v>
      </c>
      <c r="G11" s="11">
        <v>3.458244446350196</v>
      </c>
      <c r="H11" s="6">
        <v>0.1345870809484873</v>
      </c>
      <c r="I11" s="6">
        <v>0.1925360767796727</v>
      </c>
      <c r="J11" s="11">
        <v>2.089221803837189</v>
      </c>
    </row>
    <row r="12" spans="1:10">
      <c r="A12" s="2" t="s">
        <v>227</v>
      </c>
      <c r="B12" s="2" t="s">
        <v>228</v>
      </c>
      <c r="C12" s="5">
        <v>38151.919660026</v>
      </c>
      <c r="D12" s="5">
        <v>69079.80966002599</v>
      </c>
      <c r="E12" s="11">
        <v>12.42889702411407</v>
      </c>
      <c r="F12" s="11">
        <v>10.12255761741205</v>
      </c>
      <c r="G12" s="11">
        <v>1.772446906389129</v>
      </c>
      <c r="H12" s="6">
        <v>0.1872888093818326</v>
      </c>
      <c r="I12" s="6">
        <v>0.3172555511159313</v>
      </c>
      <c r="J12" s="11">
        <v>4.890003598416697</v>
      </c>
    </row>
    <row r="13" spans="1:10">
      <c r="A13" s="2" t="s">
        <v>229</v>
      </c>
      <c r="B13" s="2" t="s">
        <v>225</v>
      </c>
      <c r="C13" s="5">
        <v>26270.680744875</v>
      </c>
      <c r="D13" s="5">
        <v>56423.11074487499</v>
      </c>
      <c r="E13" s="11">
        <v>16.78759617520827</v>
      </c>
      <c r="F13" s="11">
        <v>40.92006346553738</v>
      </c>
      <c r="G13" s="11">
        <v>1.844980739158298</v>
      </c>
      <c r="H13" s="6">
        <v>0.045182630727004</v>
      </c>
      <c r="I13" s="6">
        <v>0.7422703180212014</v>
      </c>
      <c r="J13" s="11">
        <v>8.968179113359119</v>
      </c>
    </row>
    <row r="14" spans="1:10">
      <c r="A14" s="2" t="s">
        <v>230</v>
      </c>
      <c r="B14" s="2" t="s">
        <v>221</v>
      </c>
      <c r="C14" s="5">
        <v>21453.03183912</v>
      </c>
      <c r="D14" s="5">
        <v>38179.03183912001</v>
      </c>
      <c r="E14" s="11">
        <v>10.53505293573952</v>
      </c>
      <c r="F14" s="11">
        <v>13.25898135915946</v>
      </c>
      <c r="G14" s="11">
        <v>1.712133426905028</v>
      </c>
      <c r="H14" s="6">
        <v>0.1318663406682966</v>
      </c>
      <c r="I14" s="6">
        <v>0.1951534733441034</v>
      </c>
      <c r="J14" s="11">
        <v>4.433634105960265</v>
      </c>
    </row>
    <row r="15" spans="1:10">
      <c r="A15" s="2" t="s">
        <v>231</v>
      </c>
      <c r="B15" s="2" t="s">
        <v>214</v>
      </c>
      <c r="C15" s="5">
        <v>11918.164900153</v>
      </c>
      <c r="D15" s="5">
        <v>14554.214900153</v>
      </c>
      <c r="E15" s="11">
        <v>10.64682874919751</v>
      </c>
      <c r="F15" s="11">
        <v>26.42608625311087</v>
      </c>
      <c r="G15" s="11">
        <v>0.9360795554628496</v>
      </c>
      <c r="H15" s="6">
        <v>0.0360612481509615</v>
      </c>
      <c r="I15" s="6">
        <v>0.2457307208340823</v>
      </c>
      <c r="J15" s="11">
        <v>1.928346744696416</v>
      </c>
    </row>
    <row r="16" spans="1:10">
      <c r="A16" s="2" t="s">
        <v>232</v>
      </c>
      <c r="B16" s="2" t="s">
        <v>214</v>
      </c>
      <c r="C16" s="5">
        <v>9504.001679868001</v>
      </c>
      <c r="D16" s="5">
        <v>23811.751679868</v>
      </c>
      <c r="E16" s="11">
        <v>10.0683939449759</v>
      </c>
      <c r="G16" s="11">
        <v>0.5925188079718205</v>
      </c>
      <c r="H16" s="6">
        <v>-0.0208172468110078</v>
      </c>
      <c r="I16" s="6">
        <v>0.3103674540682414</v>
      </c>
      <c r="J16" s="11">
        <v>6.049788583509514</v>
      </c>
    </row>
    <row r="17" spans="1:10">
      <c r="A17" s="2" t="s">
        <v>233</v>
      </c>
      <c r="B17" s="2" t="s">
        <v>234</v>
      </c>
      <c r="C17" s="5">
        <v>4779.646359187001</v>
      </c>
      <c r="D17" s="5">
        <v>3041.206359187</v>
      </c>
      <c r="E17" s="11">
        <v>3.409424169492153</v>
      </c>
      <c r="F17" s="11">
        <v>6.666173443775454</v>
      </c>
      <c r="G17" s="11">
        <v>0.7991383312467816</v>
      </c>
      <c r="H17" s="6">
        <v>0.1216697777023587</v>
      </c>
      <c r="I17" s="6">
        <v>0.0531870490728042</v>
      </c>
      <c r="J17" s="11">
        <v>-3.15719730941704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53"/>
  <sheetViews>
    <sheetView showGridLines="0" workbookViewId="0"/>
  </sheetViews>
  <sheetFormatPr defaultRowHeight="15"/>
  <cols>
    <col min="1" max="1" width="10.7109375" customWidth="1"/>
    <col min="2" max="2" width="6.7109375" customWidth="1"/>
    <col min="3" max="3" width="30.7109375" customWidth="1"/>
    <col min="4" max="4" width="110.7109375" customWidth="1"/>
    <col min="5" max="17" width="11.7109375" customWidth="1"/>
  </cols>
  <sheetData>
    <row r="1" spans="1:4">
      <c r="A1" s="1" t="s">
        <v>235</v>
      </c>
    </row>
    <row r="3" spans="1:4">
      <c r="A3" s="3" t="s">
        <v>236</v>
      </c>
      <c r="B3" s="3" t="s">
        <v>237</v>
      </c>
      <c r="C3" s="3" t="s">
        <v>238</v>
      </c>
      <c r="D3" s="3" t="s">
        <v>239</v>
      </c>
    </row>
    <row r="4" spans="1:4">
      <c r="A4" s="16" t="s">
        <v>240</v>
      </c>
      <c r="B4" s="16">
        <v>5</v>
      </c>
      <c r="C4" s="16" t="s">
        <v>241</v>
      </c>
      <c r="D4" s="16" t="s">
        <v>242</v>
      </c>
    </row>
    <row r="5" spans="1:4">
      <c r="A5" s="16" t="s">
        <v>240</v>
      </c>
      <c r="B5" s="16">
        <v>10</v>
      </c>
      <c r="C5" s="16" t="s">
        <v>243</v>
      </c>
      <c r="D5" s="16" t="s">
        <v>244</v>
      </c>
    </row>
    <row r="6" spans="1:4">
      <c r="A6" s="16" t="s">
        <v>240</v>
      </c>
      <c r="B6" s="16">
        <v>10</v>
      </c>
      <c r="C6" s="16" t="s">
        <v>245</v>
      </c>
      <c r="D6" s="16" t="s">
        <v>246</v>
      </c>
    </row>
    <row r="7" spans="1:4">
      <c r="A7" s="16" t="s">
        <v>240</v>
      </c>
      <c r="B7" s="16">
        <v>10</v>
      </c>
      <c r="C7" s="16" t="s">
        <v>247</v>
      </c>
      <c r="D7" s="16" t="s">
        <v>248</v>
      </c>
    </row>
    <row r="8" spans="1:4">
      <c r="A8" s="16" t="s">
        <v>240</v>
      </c>
      <c r="B8" s="16">
        <v>10</v>
      </c>
      <c r="C8" s="16" t="s">
        <v>249</v>
      </c>
      <c r="D8" s="16" t="s">
        <v>250</v>
      </c>
    </row>
    <row r="9" spans="1:4">
      <c r="A9" s="16" t="s">
        <v>240</v>
      </c>
      <c r="B9" s="16">
        <v>10</v>
      </c>
      <c r="C9" s="16" t="s">
        <v>251</v>
      </c>
      <c r="D9" s="16" t="s">
        <v>252</v>
      </c>
    </row>
    <row r="10" spans="1:4">
      <c r="A10" s="16" t="s">
        <v>240</v>
      </c>
      <c r="B10" s="16">
        <v>10</v>
      </c>
      <c r="C10" s="16" t="s">
        <v>253</v>
      </c>
      <c r="D10" s="16" t="s">
        <v>254</v>
      </c>
    </row>
    <row r="11" spans="1:4">
      <c r="A11" s="16" t="s">
        <v>240</v>
      </c>
      <c r="B11" s="16">
        <v>10</v>
      </c>
      <c r="C11" s="16" t="s">
        <v>255</v>
      </c>
      <c r="D11" s="16" t="s">
        <v>256</v>
      </c>
    </row>
    <row r="12" spans="1:4">
      <c r="A12" s="16" t="s">
        <v>240</v>
      </c>
      <c r="B12" s="16">
        <v>10</v>
      </c>
      <c r="C12" s="16" t="s">
        <v>257</v>
      </c>
      <c r="D12" s="16" t="s">
        <v>258</v>
      </c>
    </row>
    <row r="13" spans="1:4">
      <c r="A13" s="16" t="s">
        <v>240</v>
      </c>
      <c r="B13" s="16">
        <v>11</v>
      </c>
      <c r="C13" s="16" t="s">
        <v>259</v>
      </c>
      <c r="D13" s="16" t="s">
        <v>260</v>
      </c>
    </row>
    <row r="14" spans="1:4">
      <c r="A14" s="16" t="s">
        <v>240</v>
      </c>
      <c r="B14" s="16">
        <v>11</v>
      </c>
      <c r="C14" s="16" t="s">
        <v>261</v>
      </c>
      <c r="D14" s="16" t="s">
        <v>262</v>
      </c>
    </row>
    <row r="15" spans="1:4">
      <c r="A15" s="16" t="s">
        <v>240</v>
      </c>
      <c r="B15" s="16">
        <v>14</v>
      </c>
      <c r="C15" s="16" t="s">
        <v>263</v>
      </c>
      <c r="D15" s="16" t="s">
        <v>264</v>
      </c>
    </row>
    <row r="16" spans="1:4">
      <c r="A16" s="16" t="s">
        <v>240</v>
      </c>
      <c r="B16" s="16">
        <v>15</v>
      </c>
      <c r="C16" s="16" t="s">
        <v>265</v>
      </c>
      <c r="D16" s="16" t="s">
        <v>266</v>
      </c>
    </row>
    <row r="17" spans="1:4">
      <c r="A17" s="16" t="s">
        <v>240</v>
      </c>
      <c r="B17" s="16">
        <v>15</v>
      </c>
      <c r="C17" s="16" t="s">
        <v>267</v>
      </c>
      <c r="D17" s="16" t="s">
        <v>268</v>
      </c>
    </row>
    <row r="18" spans="1:4">
      <c r="A18" s="16" t="s">
        <v>240</v>
      </c>
      <c r="B18" s="16">
        <v>16</v>
      </c>
      <c r="C18" s="16" t="s">
        <v>269</v>
      </c>
      <c r="D18" s="16" t="s">
        <v>270</v>
      </c>
    </row>
    <row r="19" spans="1:4">
      <c r="A19" s="16" t="s">
        <v>240</v>
      </c>
      <c r="B19" s="16">
        <v>16</v>
      </c>
      <c r="C19" s="16" t="s">
        <v>271</v>
      </c>
      <c r="D19" s="16" t="s">
        <v>272</v>
      </c>
    </row>
    <row r="20" spans="1:4">
      <c r="A20" s="16" t="s">
        <v>240</v>
      </c>
      <c r="B20" s="16">
        <v>17</v>
      </c>
      <c r="C20" s="16" t="s">
        <v>257</v>
      </c>
      <c r="D20" s="16" t="s">
        <v>273</v>
      </c>
    </row>
    <row r="21" spans="1:4">
      <c r="A21" s="16" t="s">
        <v>240</v>
      </c>
      <c r="B21" s="16">
        <v>19</v>
      </c>
      <c r="C21" s="16" t="s">
        <v>274</v>
      </c>
      <c r="D21" s="16" t="s">
        <v>275</v>
      </c>
    </row>
    <row r="22" spans="1:4">
      <c r="A22" s="16" t="s">
        <v>240</v>
      </c>
      <c r="B22" s="16">
        <v>19</v>
      </c>
      <c r="C22" s="16" t="s">
        <v>276</v>
      </c>
      <c r="D22" s="16" t="s">
        <v>277</v>
      </c>
    </row>
    <row r="23" spans="1:4">
      <c r="A23" s="16" t="s">
        <v>240</v>
      </c>
      <c r="B23" s="16">
        <v>21</v>
      </c>
      <c r="C23" s="16" t="s">
        <v>278</v>
      </c>
      <c r="D23" s="16" t="s">
        <v>279</v>
      </c>
    </row>
    <row r="24" spans="1:4">
      <c r="A24" s="16" t="s">
        <v>240</v>
      </c>
      <c r="B24" s="16">
        <v>21</v>
      </c>
      <c r="C24" s="16" t="s">
        <v>280</v>
      </c>
      <c r="D24" s="16" t="s">
        <v>281</v>
      </c>
    </row>
    <row r="25" spans="1:4">
      <c r="A25" s="16" t="s">
        <v>240</v>
      </c>
      <c r="B25" s="16">
        <v>21</v>
      </c>
      <c r="C25" s="16" t="s">
        <v>282</v>
      </c>
      <c r="D25" s="16" t="s">
        <v>283</v>
      </c>
    </row>
    <row r="26" spans="1:4">
      <c r="A26" s="16" t="s">
        <v>240</v>
      </c>
      <c r="B26" s="16">
        <v>21</v>
      </c>
      <c r="C26" s="16" t="s">
        <v>284</v>
      </c>
      <c r="D26" s="16" t="s">
        <v>285</v>
      </c>
    </row>
    <row r="27" spans="1:4">
      <c r="A27" s="16" t="s">
        <v>240</v>
      </c>
      <c r="B27" s="16">
        <v>23</v>
      </c>
      <c r="C27" s="16" t="s">
        <v>271</v>
      </c>
      <c r="D27" s="16" t="s">
        <v>286</v>
      </c>
    </row>
    <row r="28" spans="1:4">
      <c r="A28" s="16" t="s">
        <v>240</v>
      </c>
      <c r="B28" s="16">
        <v>23</v>
      </c>
      <c r="C28" s="16" t="s">
        <v>271</v>
      </c>
      <c r="D28" s="16" t="s">
        <v>287</v>
      </c>
    </row>
    <row r="29" spans="1:4">
      <c r="A29" s="16" t="s">
        <v>240</v>
      </c>
      <c r="B29" s="16">
        <v>24</v>
      </c>
      <c r="C29" s="16" t="s">
        <v>288</v>
      </c>
      <c r="D29" s="16" t="s">
        <v>289</v>
      </c>
    </row>
    <row r="30" spans="1:4">
      <c r="A30" s="16" t="s">
        <v>240</v>
      </c>
      <c r="B30" s="16">
        <v>5</v>
      </c>
      <c r="C30" s="16" t="s">
        <v>290</v>
      </c>
      <c r="D30" s="16" t="s">
        <v>291</v>
      </c>
    </row>
    <row r="31" spans="1:4">
      <c r="A31" s="16" t="s">
        <v>240</v>
      </c>
      <c r="B31" s="16">
        <v>10</v>
      </c>
      <c r="C31" s="16" t="s">
        <v>292</v>
      </c>
      <c r="D31" s="16" t="s">
        <v>293</v>
      </c>
    </row>
    <row r="32" spans="1:4">
      <c r="A32" s="16" t="s">
        <v>240</v>
      </c>
      <c r="B32" s="16">
        <v>22</v>
      </c>
      <c r="C32" s="16" t="s">
        <v>290</v>
      </c>
      <c r="D32" s="16" t="s">
        <v>294</v>
      </c>
    </row>
    <row r="33" spans="1:4">
      <c r="A33" s="16" t="s">
        <v>240</v>
      </c>
      <c r="B33" s="16">
        <v>10</v>
      </c>
      <c r="C33" s="16" t="s">
        <v>295</v>
      </c>
      <c r="D33" s="16" t="s">
        <v>296</v>
      </c>
    </row>
    <row r="34" spans="1:4">
      <c r="A34" s="16" t="s">
        <v>240</v>
      </c>
      <c r="B34" s="16">
        <v>7</v>
      </c>
      <c r="C34" s="16" t="s">
        <v>297</v>
      </c>
      <c r="D34" s="16" t="s">
        <v>298</v>
      </c>
    </row>
    <row r="35" spans="1:4">
      <c r="A35" s="16" t="s">
        <v>240</v>
      </c>
      <c r="B35" s="16">
        <v>10</v>
      </c>
      <c r="C35" s="16" t="s">
        <v>299</v>
      </c>
      <c r="D35" s="16" t="s">
        <v>300</v>
      </c>
    </row>
    <row r="36" spans="1:4">
      <c r="A36" s="16" t="s">
        <v>240</v>
      </c>
      <c r="B36" s="16">
        <v>5</v>
      </c>
      <c r="C36" s="16" t="s">
        <v>301</v>
      </c>
      <c r="D36" s="16" t="s">
        <v>302</v>
      </c>
    </row>
    <row r="37" spans="1:4">
      <c r="A37" s="16" t="s">
        <v>240</v>
      </c>
      <c r="B37" s="16">
        <v>5</v>
      </c>
      <c r="C37" s="16" t="s">
        <v>303</v>
      </c>
      <c r="D37" s="16" t="s">
        <v>304</v>
      </c>
    </row>
    <row r="38" spans="1:4">
      <c r="A38" s="16" t="s">
        <v>240</v>
      </c>
      <c r="B38" s="16">
        <v>6</v>
      </c>
      <c r="C38" s="16" t="s">
        <v>305</v>
      </c>
      <c r="D38" s="16" t="s">
        <v>306</v>
      </c>
    </row>
    <row r="39" spans="1:4">
      <c r="A39" s="16" t="s">
        <v>240</v>
      </c>
      <c r="B39" s="16">
        <v>5</v>
      </c>
      <c r="C39" s="16" t="s">
        <v>307</v>
      </c>
      <c r="D39" s="16" t="s">
        <v>308</v>
      </c>
    </row>
    <row r="40" spans="1:4">
      <c r="A40" s="16" t="s">
        <v>240</v>
      </c>
      <c r="B40" s="16">
        <v>6</v>
      </c>
      <c r="C40" s="16" t="s">
        <v>309</v>
      </c>
      <c r="D40" s="16" t="s">
        <v>310</v>
      </c>
    </row>
    <row r="41" spans="1:4">
      <c r="A41" s="16" t="s">
        <v>240</v>
      </c>
      <c r="B41" s="16">
        <v>6</v>
      </c>
      <c r="C41" s="16" t="s">
        <v>290</v>
      </c>
      <c r="D41" s="16" t="s">
        <v>311</v>
      </c>
    </row>
    <row r="42" spans="1:4">
      <c r="A42" s="16" t="s">
        <v>240</v>
      </c>
      <c r="B42" s="16">
        <v>6</v>
      </c>
      <c r="C42" s="16" t="s">
        <v>312</v>
      </c>
      <c r="D42" s="16" t="s">
        <v>313</v>
      </c>
    </row>
    <row r="43" spans="1:4">
      <c r="A43" s="16" t="s">
        <v>240</v>
      </c>
      <c r="B43" s="16">
        <v>7</v>
      </c>
      <c r="C43" s="16" t="s">
        <v>314</v>
      </c>
      <c r="D43" s="16" t="s">
        <v>315</v>
      </c>
    </row>
    <row r="44" spans="1:4">
      <c r="A44" s="16" t="s">
        <v>240</v>
      </c>
      <c r="B44" s="16">
        <v>7</v>
      </c>
      <c r="C44" s="16" t="s">
        <v>316</v>
      </c>
      <c r="D44" s="16" t="s">
        <v>317</v>
      </c>
    </row>
    <row r="45" spans="1:4">
      <c r="A45" s="16" t="s">
        <v>240</v>
      </c>
      <c r="B45" s="16">
        <v>7</v>
      </c>
      <c r="C45" s="16" t="s">
        <v>318</v>
      </c>
      <c r="D45" s="16" t="s">
        <v>319</v>
      </c>
    </row>
    <row r="46" spans="1:4">
      <c r="A46" s="16" t="s">
        <v>240</v>
      </c>
      <c r="B46" s="16">
        <v>6</v>
      </c>
      <c r="C46" s="16" t="s">
        <v>320</v>
      </c>
      <c r="D46" s="16" t="s">
        <v>321</v>
      </c>
    </row>
    <row r="47" spans="1:4">
      <c r="A47" s="16" t="s">
        <v>240</v>
      </c>
      <c r="B47" s="16">
        <v>8</v>
      </c>
      <c r="C47" s="16" t="s">
        <v>322</v>
      </c>
      <c r="D47" s="16" t="s">
        <v>323</v>
      </c>
    </row>
    <row r="48" spans="1:4">
      <c r="A48" s="16" t="s">
        <v>240</v>
      </c>
      <c r="B48" s="16">
        <v>9</v>
      </c>
      <c r="C48" s="16" t="s">
        <v>324</v>
      </c>
      <c r="D48" s="16" t="s">
        <v>325</v>
      </c>
    </row>
    <row r="49" spans="1:4">
      <c r="A49" s="16" t="s">
        <v>240</v>
      </c>
      <c r="B49" s="16">
        <v>9</v>
      </c>
      <c r="C49" s="16" t="s">
        <v>326</v>
      </c>
      <c r="D49" s="16" t="s">
        <v>327</v>
      </c>
    </row>
    <row r="50" spans="1:4">
      <c r="A50" s="16" t="s">
        <v>240</v>
      </c>
      <c r="B50" s="16">
        <v>8</v>
      </c>
      <c r="C50" s="16" t="s">
        <v>328</v>
      </c>
      <c r="D50" s="16" t="s">
        <v>329</v>
      </c>
    </row>
    <row r="51" spans="1:4">
      <c r="A51" s="16" t="s">
        <v>240</v>
      </c>
      <c r="B51" s="16">
        <v>9</v>
      </c>
      <c r="C51" s="16" t="s">
        <v>330</v>
      </c>
      <c r="D51" s="16" t="s">
        <v>331</v>
      </c>
    </row>
    <row r="52" spans="1:4">
      <c r="A52" s="16" t="s">
        <v>240</v>
      </c>
      <c r="B52" s="16">
        <v>9</v>
      </c>
      <c r="C52" s="16" t="s">
        <v>332</v>
      </c>
      <c r="D52" s="16" t="s">
        <v>333</v>
      </c>
    </row>
    <row r="53" spans="1:4">
      <c r="A53" s="16" t="s">
        <v>240</v>
      </c>
      <c r="B53" s="16">
        <v>9</v>
      </c>
      <c r="C53" s="16" t="s">
        <v>334</v>
      </c>
      <c r="D53" s="16" t="s">
        <v>335</v>
      </c>
    </row>
    <row r="54" spans="1:4">
      <c r="A54" s="16" t="s">
        <v>240</v>
      </c>
      <c r="B54" s="16">
        <v>8</v>
      </c>
      <c r="C54" s="16" t="s">
        <v>336</v>
      </c>
      <c r="D54" s="16" t="s">
        <v>337</v>
      </c>
    </row>
    <row r="55" spans="1:4">
      <c r="A55" s="16" t="s">
        <v>240</v>
      </c>
      <c r="B55" s="16">
        <v>8</v>
      </c>
      <c r="C55" s="16" t="s">
        <v>338</v>
      </c>
      <c r="D55" s="16" t="s">
        <v>339</v>
      </c>
    </row>
    <row r="56" spans="1:4">
      <c r="A56" s="16" t="s">
        <v>240</v>
      </c>
      <c r="B56" s="16">
        <v>8</v>
      </c>
      <c r="C56" s="16" t="s">
        <v>340</v>
      </c>
      <c r="D56" s="16" t="s">
        <v>341</v>
      </c>
    </row>
    <row r="57" spans="1:4">
      <c r="A57" s="16" t="s">
        <v>240</v>
      </c>
      <c r="B57" s="16">
        <v>8</v>
      </c>
      <c r="C57" s="16" t="s">
        <v>342</v>
      </c>
      <c r="D57" s="16" t="s">
        <v>343</v>
      </c>
    </row>
    <row r="58" spans="1:4">
      <c r="A58" s="16" t="s">
        <v>240</v>
      </c>
      <c r="B58" s="16">
        <v>8</v>
      </c>
      <c r="C58" s="16" t="s">
        <v>344</v>
      </c>
      <c r="D58" s="16" t="s">
        <v>345</v>
      </c>
    </row>
    <row r="59" spans="1:4">
      <c r="A59" s="16" t="s">
        <v>346</v>
      </c>
      <c r="B59" s="16">
        <v>10</v>
      </c>
      <c r="C59" s="16" t="s">
        <v>347</v>
      </c>
      <c r="D59" s="16" t="s">
        <v>348</v>
      </c>
    </row>
    <row r="60" spans="1:4">
      <c r="A60" s="16" t="s">
        <v>346</v>
      </c>
      <c r="B60" s="16">
        <v>12</v>
      </c>
      <c r="C60" s="16" t="s">
        <v>349</v>
      </c>
      <c r="D60" s="16" t="s">
        <v>350</v>
      </c>
    </row>
    <row r="61" spans="1:4">
      <c r="A61" s="16" t="s">
        <v>346</v>
      </c>
      <c r="B61" s="16">
        <v>10</v>
      </c>
      <c r="C61" s="16" t="s">
        <v>351</v>
      </c>
      <c r="D61" s="16" t="s">
        <v>352</v>
      </c>
    </row>
    <row r="62" spans="1:4">
      <c r="A62" s="16" t="s">
        <v>346</v>
      </c>
      <c r="B62" s="16">
        <v>11</v>
      </c>
      <c r="C62" s="16" t="s">
        <v>353</v>
      </c>
      <c r="D62" s="16" t="s">
        <v>354</v>
      </c>
    </row>
    <row r="63" spans="1:4">
      <c r="A63" s="16" t="s">
        <v>346</v>
      </c>
      <c r="B63" s="16">
        <v>12</v>
      </c>
      <c r="C63" s="16" t="s">
        <v>355</v>
      </c>
      <c r="D63" s="16" t="s">
        <v>356</v>
      </c>
    </row>
    <row r="64" spans="1:4">
      <c r="A64" s="16" t="s">
        <v>346</v>
      </c>
      <c r="B64" s="16">
        <v>12</v>
      </c>
      <c r="C64" s="16" t="s">
        <v>357</v>
      </c>
      <c r="D64" s="16" t="s">
        <v>358</v>
      </c>
    </row>
    <row r="65" spans="1:4">
      <c r="A65" s="16" t="s">
        <v>346</v>
      </c>
      <c r="B65" s="16">
        <v>12</v>
      </c>
      <c r="C65" s="16" t="s">
        <v>357</v>
      </c>
      <c r="D65" s="16" t="s">
        <v>359</v>
      </c>
    </row>
    <row r="66" spans="1:4">
      <c r="A66" s="16" t="s">
        <v>346</v>
      </c>
      <c r="B66" s="16">
        <v>15</v>
      </c>
      <c r="C66" s="16" t="s">
        <v>360</v>
      </c>
      <c r="D66" s="16" t="s">
        <v>361</v>
      </c>
    </row>
    <row r="67" spans="1:4">
      <c r="A67" s="16" t="s">
        <v>346</v>
      </c>
      <c r="B67" s="16">
        <v>14</v>
      </c>
      <c r="C67" s="16" t="s">
        <v>362</v>
      </c>
      <c r="D67" s="16" t="s">
        <v>363</v>
      </c>
    </row>
    <row r="68" spans="1:4">
      <c r="A68" s="16" t="s">
        <v>346</v>
      </c>
      <c r="B68" s="16">
        <v>14</v>
      </c>
      <c r="C68" s="16" t="s">
        <v>364</v>
      </c>
      <c r="D68" s="16" t="s">
        <v>365</v>
      </c>
    </row>
    <row r="69" spans="1:4">
      <c r="A69" s="16" t="s">
        <v>346</v>
      </c>
      <c r="B69" s="16">
        <v>14</v>
      </c>
      <c r="C69" s="16" t="s">
        <v>366</v>
      </c>
      <c r="D69" s="16" t="s">
        <v>367</v>
      </c>
    </row>
    <row r="70" spans="1:4">
      <c r="A70" s="16" t="s">
        <v>346</v>
      </c>
      <c r="B70" s="16">
        <v>15</v>
      </c>
      <c r="C70" s="16" t="s">
        <v>368</v>
      </c>
      <c r="D70" s="16" t="s">
        <v>369</v>
      </c>
    </row>
    <row r="71" spans="1:4">
      <c r="A71" s="16" t="s">
        <v>346</v>
      </c>
      <c r="B71" s="16">
        <v>15</v>
      </c>
      <c r="C71" s="16" t="s">
        <v>370</v>
      </c>
      <c r="D71" s="16" t="s">
        <v>371</v>
      </c>
    </row>
    <row r="72" spans="1:4">
      <c r="A72" s="16" t="s">
        <v>346</v>
      </c>
      <c r="B72" s="16">
        <v>15</v>
      </c>
      <c r="C72" s="16" t="s">
        <v>372</v>
      </c>
      <c r="D72" s="16" t="s">
        <v>373</v>
      </c>
    </row>
    <row r="73" spans="1:4">
      <c r="A73" s="16" t="s">
        <v>346</v>
      </c>
      <c r="B73" s="16">
        <v>10</v>
      </c>
      <c r="C73" s="16" t="s">
        <v>374</v>
      </c>
      <c r="D73" s="16" t="s">
        <v>375</v>
      </c>
    </row>
    <row r="74" spans="1:4">
      <c r="A74" s="16" t="s">
        <v>346</v>
      </c>
      <c r="B74" s="16">
        <v>10</v>
      </c>
      <c r="C74" s="16" t="s">
        <v>376</v>
      </c>
      <c r="D74" s="16" t="s">
        <v>377</v>
      </c>
    </row>
    <row r="75" spans="1:4">
      <c r="A75" s="16" t="s">
        <v>346</v>
      </c>
      <c r="B75" s="16">
        <v>8</v>
      </c>
      <c r="C75" s="16" t="s">
        <v>378</v>
      </c>
      <c r="D75" s="16" t="s">
        <v>379</v>
      </c>
    </row>
    <row r="76" spans="1:4">
      <c r="A76" s="16" t="s">
        <v>346</v>
      </c>
      <c r="B76" s="16">
        <v>10</v>
      </c>
      <c r="C76" s="16" t="s">
        <v>380</v>
      </c>
      <c r="D76" s="16" t="s">
        <v>381</v>
      </c>
    </row>
    <row r="77" spans="1:4">
      <c r="A77" s="16" t="s">
        <v>346</v>
      </c>
      <c r="B77" s="16">
        <v>7</v>
      </c>
      <c r="C77" s="16" t="s">
        <v>382</v>
      </c>
      <c r="D77" s="16" t="s">
        <v>383</v>
      </c>
    </row>
    <row r="78" spans="1:4">
      <c r="A78" s="16" t="s">
        <v>346</v>
      </c>
      <c r="B78" s="16">
        <v>8</v>
      </c>
      <c r="C78" s="16" t="s">
        <v>384</v>
      </c>
      <c r="D78" s="16" t="s">
        <v>385</v>
      </c>
    </row>
    <row r="79" spans="1:4">
      <c r="A79" s="16" t="s">
        <v>346</v>
      </c>
      <c r="B79" s="16">
        <v>5</v>
      </c>
      <c r="C79" s="16" t="s">
        <v>386</v>
      </c>
      <c r="D79" s="16" t="s">
        <v>387</v>
      </c>
    </row>
    <row r="80" spans="1:4">
      <c r="A80" s="16" t="s">
        <v>346</v>
      </c>
      <c r="B80" s="16">
        <v>6</v>
      </c>
      <c r="C80" s="16" t="s">
        <v>388</v>
      </c>
      <c r="D80" s="16" t="s">
        <v>389</v>
      </c>
    </row>
    <row r="81" spans="1:4">
      <c r="A81" s="16" t="s">
        <v>346</v>
      </c>
      <c r="B81" s="16">
        <v>6</v>
      </c>
      <c r="C81" s="16" t="s">
        <v>390</v>
      </c>
      <c r="D81" s="16" t="s">
        <v>391</v>
      </c>
    </row>
    <row r="82" spans="1:4">
      <c r="A82" s="16" t="s">
        <v>346</v>
      </c>
      <c r="B82" s="16">
        <v>6</v>
      </c>
      <c r="C82" s="16" t="s">
        <v>312</v>
      </c>
      <c r="D82" s="16" t="s">
        <v>392</v>
      </c>
    </row>
    <row r="83" spans="1:4">
      <c r="A83" s="16" t="s">
        <v>346</v>
      </c>
      <c r="B83" s="16">
        <v>6</v>
      </c>
      <c r="C83" s="16" t="s">
        <v>393</v>
      </c>
      <c r="D83" s="16" t="s">
        <v>394</v>
      </c>
    </row>
    <row r="84" spans="1:4">
      <c r="A84" s="16" t="s">
        <v>346</v>
      </c>
      <c r="B84" s="16">
        <v>5</v>
      </c>
      <c r="C84" s="16" t="s">
        <v>395</v>
      </c>
      <c r="D84" s="16" t="s">
        <v>396</v>
      </c>
    </row>
    <row r="85" spans="1:4">
      <c r="A85" s="16" t="s">
        <v>346</v>
      </c>
      <c r="B85" s="16">
        <v>7</v>
      </c>
      <c r="C85" s="16" t="s">
        <v>376</v>
      </c>
      <c r="D85" s="16" t="s">
        <v>397</v>
      </c>
    </row>
    <row r="86" spans="1:4">
      <c r="A86" s="16" t="s">
        <v>346</v>
      </c>
      <c r="B86" s="16">
        <v>8</v>
      </c>
      <c r="C86" s="16" t="s">
        <v>398</v>
      </c>
      <c r="D86" s="16" t="s">
        <v>399</v>
      </c>
    </row>
    <row r="87" spans="1:4">
      <c r="A87" s="16" t="s">
        <v>346</v>
      </c>
      <c r="B87" s="16">
        <v>8</v>
      </c>
      <c r="C87" s="16" t="s">
        <v>400</v>
      </c>
      <c r="D87" s="16" t="s">
        <v>401</v>
      </c>
    </row>
    <row r="88" spans="1:4">
      <c r="A88" s="16" t="s">
        <v>346</v>
      </c>
      <c r="B88" s="16">
        <v>8</v>
      </c>
      <c r="C88" s="16" t="s">
        <v>402</v>
      </c>
      <c r="D88" s="16" t="s">
        <v>403</v>
      </c>
    </row>
    <row r="89" spans="1:4">
      <c r="A89" s="16" t="s">
        <v>346</v>
      </c>
      <c r="B89" s="16">
        <v>8</v>
      </c>
      <c r="C89" s="16" t="s">
        <v>404</v>
      </c>
      <c r="D89" s="16" t="s">
        <v>405</v>
      </c>
    </row>
    <row r="90" spans="1:4">
      <c r="A90" s="16" t="s">
        <v>346</v>
      </c>
      <c r="B90" s="16">
        <v>8</v>
      </c>
      <c r="C90" s="16" t="s">
        <v>406</v>
      </c>
      <c r="D90" s="16" t="s">
        <v>407</v>
      </c>
    </row>
    <row r="91" spans="1:4">
      <c r="A91" s="16" t="s">
        <v>346</v>
      </c>
      <c r="B91" s="16">
        <v>8</v>
      </c>
      <c r="C91" s="16" t="s">
        <v>408</v>
      </c>
      <c r="D91" s="16" t="s">
        <v>409</v>
      </c>
    </row>
    <row r="92" spans="1:4">
      <c r="A92" s="16" t="s">
        <v>410</v>
      </c>
      <c r="B92" s="16">
        <v>13</v>
      </c>
      <c r="C92" s="16" t="s">
        <v>411</v>
      </c>
      <c r="D92" s="16" t="s">
        <v>412</v>
      </c>
    </row>
    <row r="93" spans="1:4">
      <c r="A93" s="16" t="s">
        <v>410</v>
      </c>
      <c r="B93" s="16">
        <v>12</v>
      </c>
      <c r="C93" s="16" t="s">
        <v>413</v>
      </c>
      <c r="D93" s="16" t="s">
        <v>414</v>
      </c>
    </row>
    <row r="94" spans="1:4">
      <c r="A94" s="16" t="s">
        <v>410</v>
      </c>
      <c r="B94" s="16">
        <v>12</v>
      </c>
      <c r="C94" s="16" t="s">
        <v>415</v>
      </c>
      <c r="D94" s="16" t="s">
        <v>416</v>
      </c>
    </row>
    <row r="95" spans="1:4">
      <c r="A95" s="16" t="s">
        <v>410</v>
      </c>
      <c r="B95" s="16">
        <v>12</v>
      </c>
      <c r="C95" s="16" t="s">
        <v>417</v>
      </c>
      <c r="D95" s="16" t="s">
        <v>418</v>
      </c>
    </row>
    <row r="96" spans="1:4">
      <c r="A96" s="16" t="s">
        <v>410</v>
      </c>
      <c r="B96" s="16">
        <v>12</v>
      </c>
      <c r="C96" s="16" t="s">
        <v>419</v>
      </c>
      <c r="D96" s="16" t="s">
        <v>420</v>
      </c>
    </row>
    <row r="97" spans="1:4">
      <c r="A97" s="16" t="s">
        <v>410</v>
      </c>
      <c r="B97" s="16">
        <v>13</v>
      </c>
      <c r="C97" s="16" t="s">
        <v>421</v>
      </c>
      <c r="D97" s="16" t="s">
        <v>422</v>
      </c>
    </row>
    <row r="98" spans="1:4">
      <c r="A98" s="16" t="s">
        <v>410</v>
      </c>
      <c r="B98" s="16">
        <v>13</v>
      </c>
      <c r="C98" s="16" t="s">
        <v>423</v>
      </c>
      <c r="D98" s="16" t="s">
        <v>424</v>
      </c>
    </row>
    <row r="99" spans="1:4">
      <c r="A99" s="16" t="s">
        <v>410</v>
      </c>
      <c r="B99" s="16">
        <v>13</v>
      </c>
      <c r="C99" s="16" t="s">
        <v>425</v>
      </c>
      <c r="D99" s="16" t="s">
        <v>426</v>
      </c>
    </row>
    <row r="100" spans="1:4">
      <c r="A100" s="16" t="s">
        <v>410</v>
      </c>
      <c r="B100" s="16">
        <v>13</v>
      </c>
      <c r="C100" s="16" t="s">
        <v>427</v>
      </c>
      <c r="D100" s="16" t="s">
        <v>428</v>
      </c>
    </row>
    <row r="101" spans="1:4">
      <c r="A101" s="16" t="s">
        <v>410</v>
      </c>
      <c r="B101" s="16">
        <v>13</v>
      </c>
      <c r="C101" s="16" t="s">
        <v>429</v>
      </c>
      <c r="D101" s="16" t="s">
        <v>430</v>
      </c>
    </row>
    <row r="102" spans="1:4">
      <c r="A102" s="16" t="s">
        <v>410</v>
      </c>
      <c r="B102" s="16">
        <v>14</v>
      </c>
      <c r="C102" s="16" t="s">
        <v>431</v>
      </c>
      <c r="D102" s="16" t="s">
        <v>432</v>
      </c>
    </row>
    <row r="103" spans="1:4">
      <c r="A103" s="16" t="s">
        <v>410</v>
      </c>
      <c r="B103" s="16">
        <v>14</v>
      </c>
      <c r="C103" s="16" t="s">
        <v>433</v>
      </c>
      <c r="D103" s="16" t="s">
        <v>434</v>
      </c>
    </row>
    <row r="104" spans="1:4">
      <c r="A104" s="16" t="s">
        <v>410</v>
      </c>
      <c r="B104" s="16">
        <v>14</v>
      </c>
      <c r="C104" s="16" t="s">
        <v>402</v>
      </c>
      <c r="D104" s="16" t="s">
        <v>435</v>
      </c>
    </row>
    <row r="105" spans="1:4">
      <c r="A105" s="16" t="s">
        <v>410</v>
      </c>
      <c r="B105" s="16">
        <v>9</v>
      </c>
      <c r="C105" s="16" t="s">
        <v>376</v>
      </c>
      <c r="D105" s="16" t="s">
        <v>436</v>
      </c>
    </row>
    <row r="106" spans="1:4">
      <c r="A106" s="16" t="s">
        <v>410</v>
      </c>
      <c r="B106" s="16">
        <v>11</v>
      </c>
      <c r="C106" s="16" t="s">
        <v>437</v>
      </c>
      <c r="D106" s="16" t="s">
        <v>438</v>
      </c>
    </row>
    <row r="107" spans="1:4">
      <c r="A107" s="16" t="s">
        <v>410</v>
      </c>
      <c r="B107" s="16">
        <v>15</v>
      </c>
      <c r="C107" s="16" t="s">
        <v>439</v>
      </c>
      <c r="D107" s="16" t="s">
        <v>440</v>
      </c>
    </row>
    <row r="108" spans="1:4">
      <c r="A108" s="16" t="s">
        <v>410</v>
      </c>
      <c r="B108" s="16">
        <v>9</v>
      </c>
      <c r="C108" s="16" t="s">
        <v>376</v>
      </c>
      <c r="D108" s="16" t="s">
        <v>441</v>
      </c>
    </row>
    <row r="109" spans="1:4">
      <c r="A109" s="16" t="s">
        <v>410</v>
      </c>
      <c r="B109" s="16">
        <v>7</v>
      </c>
      <c r="C109" s="16" t="s">
        <v>429</v>
      </c>
      <c r="D109" s="16" t="s">
        <v>442</v>
      </c>
    </row>
    <row r="110" spans="1:4">
      <c r="A110" s="16" t="s">
        <v>410</v>
      </c>
      <c r="B110" s="16">
        <v>9</v>
      </c>
      <c r="C110" s="16" t="s">
        <v>443</v>
      </c>
      <c r="D110" s="16" t="s">
        <v>444</v>
      </c>
    </row>
    <row r="111" spans="1:4">
      <c r="A111" s="16" t="s">
        <v>410</v>
      </c>
      <c r="B111" s="16">
        <v>6</v>
      </c>
      <c r="C111" s="16" t="s">
        <v>445</v>
      </c>
      <c r="D111" s="16" t="s">
        <v>446</v>
      </c>
    </row>
    <row r="112" spans="1:4">
      <c r="A112" s="16" t="s">
        <v>410</v>
      </c>
      <c r="B112" s="16">
        <v>6</v>
      </c>
      <c r="C112" s="16" t="s">
        <v>447</v>
      </c>
      <c r="D112" s="16" t="s">
        <v>448</v>
      </c>
    </row>
    <row r="113" spans="1:4">
      <c r="A113" s="16" t="s">
        <v>410</v>
      </c>
      <c r="B113" s="16">
        <v>6</v>
      </c>
      <c r="C113" s="16" t="s">
        <v>449</v>
      </c>
      <c r="D113" s="16" t="s">
        <v>450</v>
      </c>
    </row>
    <row r="114" spans="1:4">
      <c r="A114" s="16" t="s">
        <v>410</v>
      </c>
      <c r="B114" s="16">
        <v>7</v>
      </c>
      <c r="C114" s="16" t="s">
        <v>451</v>
      </c>
      <c r="D114" s="16" t="s">
        <v>452</v>
      </c>
    </row>
    <row r="115" spans="1:4">
      <c r="A115" s="16" t="s">
        <v>410</v>
      </c>
      <c r="B115" s="16">
        <v>7</v>
      </c>
      <c r="C115" s="16" t="s">
        <v>453</v>
      </c>
      <c r="D115" s="16" t="s">
        <v>454</v>
      </c>
    </row>
    <row r="116" spans="1:4">
      <c r="A116" s="16" t="s">
        <v>410</v>
      </c>
      <c r="B116" s="16">
        <v>4</v>
      </c>
      <c r="C116" s="16" t="s">
        <v>455</v>
      </c>
      <c r="D116" s="16" t="s">
        <v>456</v>
      </c>
    </row>
    <row r="117" spans="1:4">
      <c r="A117" s="16" t="s">
        <v>410</v>
      </c>
      <c r="B117" s="16">
        <v>8</v>
      </c>
      <c r="C117" s="16" t="s">
        <v>457</v>
      </c>
      <c r="D117" s="16" t="s">
        <v>458</v>
      </c>
    </row>
    <row r="118" spans="1:4">
      <c r="A118" s="16" t="s">
        <v>410</v>
      </c>
      <c r="B118" s="16">
        <v>9</v>
      </c>
      <c r="C118" s="16" t="s">
        <v>459</v>
      </c>
      <c r="D118" s="16" t="s">
        <v>460</v>
      </c>
    </row>
    <row r="119" spans="1:4">
      <c r="A119" s="16" t="s">
        <v>410</v>
      </c>
      <c r="B119" s="16">
        <v>9</v>
      </c>
      <c r="C119" s="16" t="s">
        <v>461</v>
      </c>
      <c r="D119" s="16" t="s">
        <v>462</v>
      </c>
    </row>
    <row r="120" spans="1:4">
      <c r="A120" s="16" t="s">
        <v>410</v>
      </c>
      <c r="B120" s="16">
        <v>9</v>
      </c>
      <c r="C120" s="16" t="s">
        <v>374</v>
      </c>
      <c r="D120" s="16" t="s">
        <v>463</v>
      </c>
    </row>
    <row r="121" spans="1:4">
      <c r="A121" s="16" t="s">
        <v>410</v>
      </c>
      <c r="B121" s="16">
        <v>9</v>
      </c>
      <c r="C121" s="16" t="s">
        <v>464</v>
      </c>
      <c r="D121" s="16" t="s">
        <v>465</v>
      </c>
    </row>
    <row r="122" spans="1:4">
      <c r="A122" s="16" t="s">
        <v>410</v>
      </c>
      <c r="B122" s="16">
        <v>8</v>
      </c>
      <c r="C122" s="16" t="s">
        <v>466</v>
      </c>
      <c r="D122" s="16" t="s">
        <v>467</v>
      </c>
    </row>
    <row r="123" spans="1:4">
      <c r="A123" s="16" t="s">
        <v>468</v>
      </c>
      <c r="B123" s="16">
        <v>17</v>
      </c>
      <c r="C123" s="16" t="s">
        <v>469</v>
      </c>
      <c r="D123" s="16" t="s">
        <v>470</v>
      </c>
    </row>
    <row r="124" spans="1:4">
      <c r="A124" s="16" t="s">
        <v>468</v>
      </c>
      <c r="B124" s="16">
        <v>13</v>
      </c>
      <c r="C124" s="16" t="s">
        <v>471</v>
      </c>
      <c r="D124" s="16" t="s">
        <v>472</v>
      </c>
    </row>
    <row r="125" spans="1:4">
      <c r="A125" s="16" t="s">
        <v>468</v>
      </c>
      <c r="B125" s="16">
        <v>15</v>
      </c>
      <c r="C125" s="16" t="s">
        <v>473</v>
      </c>
      <c r="D125" s="16" t="s">
        <v>474</v>
      </c>
    </row>
    <row r="126" spans="1:4">
      <c r="A126" s="16" t="s">
        <v>468</v>
      </c>
      <c r="B126" s="16">
        <v>16</v>
      </c>
      <c r="C126" s="16" t="s">
        <v>475</v>
      </c>
      <c r="D126" s="16" t="s">
        <v>476</v>
      </c>
    </row>
    <row r="127" spans="1:4">
      <c r="A127" s="16" t="s">
        <v>468</v>
      </c>
      <c r="B127" s="16">
        <v>16</v>
      </c>
      <c r="C127" s="16" t="s">
        <v>477</v>
      </c>
      <c r="D127" s="16" t="s">
        <v>478</v>
      </c>
    </row>
    <row r="128" spans="1:4">
      <c r="A128" s="16" t="s">
        <v>468</v>
      </c>
      <c r="B128" s="16">
        <v>17</v>
      </c>
      <c r="C128" s="16" t="s">
        <v>479</v>
      </c>
      <c r="D128" s="16" t="s">
        <v>480</v>
      </c>
    </row>
    <row r="129" spans="1:4">
      <c r="A129" s="16" t="s">
        <v>468</v>
      </c>
      <c r="B129" s="16">
        <v>17</v>
      </c>
      <c r="C129" s="16" t="s">
        <v>481</v>
      </c>
      <c r="D129" s="16" t="s">
        <v>482</v>
      </c>
    </row>
    <row r="130" spans="1:4">
      <c r="A130" s="16" t="s">
        <v>468</v>
      </c>
      <c r="B130" s="16">
        <v>17</v>
      </c>
      <c r="C130" s="16" t="s">
        <v>483</v>
      </c>
      <c r="D130" s="16" t="s">
        <v>484</v>
      </c>
    </row>
    <row r="131" spans="1:4">
      <c r="A131" s="16" t="s">
        <v>468</v>
      </c>
      <c r="B131" s="16">
        <v>17</v>
      </c>
      <c r="C131" s="16" t="s">
        <v>485</v>
      </c>
      <c r="D131" s="16" t="s">
        <v>486</v>
      </c>
    </row>
    <row r="132" spans="1:4">
      <c r="A132" s="16" t="s">
        <v>468</v>
      </c>
      <c r="B132" s="16">
        <v>17</v>
      </c>
      <c r="C132" s="16" t="s">
        <v>487</v>
      </c>
      <c r="D132" s="16" t="s">
        <v>488</v>
      </c>
    </row>
    <row r="133" spans="1:4">
      <c r="A133" s="16" t="s">
        <v>468</v>
      </c>
      <c r="B133" s="16">
        <v>18</v>
      </c>
      <c r="C133" s="16" t="s">
        <v>489</v>
      </c>
      <c r="D133" s="16" t="s">
        <v>490</v>
      </c>
    </row>
    <row r="134" spans="1:4">
      <c r="A134" s="16" t="s">
        <v>468</v>
      </c>
      <c r="B134" s="16">
        <v>19</v>
      </c>
      <c r="C134" s="16" t="s">
        <v>491</v>
      </c>
      <c r="D134" s="16" t="s">
        <v>492</v>
      </c>
    </row>
    <row r="135" spans="1:4">
      <c r="A135" s="16" t="s">
        <v>468</v>
      </c>
      <c r="B135" s="16">
        <v>12</v>
      </c>
      <c r="C135" s="16" t="s">
        <v>493</v>
      </c>
      <c r="D135" s="16" t="s">
        <v>494</v>
      </c>
    </row>
    <row r="136" spans="1:4">
      <c r="A136" s="16" t="s">
        <v>468</v>
      </c>
      <c r="B136" s="16">
        <v>13</v>
      </c>
      <c r="C136" s="16" t="s">
        <v>495</v>
      </c>
      <c r="D136" s="16" t="s">
        <v>496</v>
      </c>
    </row>
    <row r="137" spans="1:4">
      <c r="A137" s="16" t="s">
        <v>468</v>
      </c>
      <c r="B137" s="16">
        <v>12</v>
      </c>
      <c r="C137" s="16" t="s">
        <v>497</v>
      </c>
      <c r="D137" s="16" t="s">
        <v>498</v>
      </c>
    </row>
    <row r="138" spans="1:4">
      <c r="A138" s="16" t="s">
        <v>468</v>
      </c>
      <c r="B138" s="16">
        <v>6</v>
      </c>
      <c r="C138" s="16" t="s">
        <v>499</v>
      </c>
      <c r="D138" s="16" t="s">
        <v>500</v>
      </c>
    </row>
    <row r="139" spans="1:4">
      <c r="A139" s="16" t="s">
        <v>468</v>
      </c>
      <c r="B139" s="16">
        <v>9</v>
      </c>
      <c r="C139" s="16" t="s">
        <v>501</v>
      </c>
      <c r="D139" s="16" t="s">
        <v>502</v>
      </c>
    </row>
    <row r="140" spans="1:4">
      <c r="A140" s="16" t="s">
        <v>468</v>
      </c>
      <c r="B140" s="16">
        <v>12</v>
      </c>
      <c r="C140" s="16" t="s">
        <v>503</v>
      </c>
      <c r="D140" s="16" t="s">
        <v>504</v>
      </c>
    </row>
    <row r="141" spans="1:4">
      <c r="A141" s="16" t="s">
        <v>468</v>
      </c>
      <c r="B141" s="16">
        <v>6</v>
      </c>
      <c r="C141" s="16" t="s">
        <v>505</v>
      </c>
      <c r="D141" s="16" t="s">
        <v>506</v>
      </c>
    </row>
    <row r="142" spans="1:4">
      <c r="A142" s="16" t="s">
        <v>468</v>
      </c>
      <c r="B142" s="16">
        <v>6</v>
      </c>
      <c r="C142" s="16" t="s">
        <v>507</v>
      </c>
      <c r="D142" s="16" t="s">
        <v>508</v>
      </c>
    </row>
    <row r="143" spans="1:4">
      <c r="A143" s="16" t="s">
        <v>468</v>
      </c>
      <c r="B143" s="16">
        <v>6</v>
      </c>
      <c r="C143" s="16" t="s">
        <v>509</v>
      </c>
      <c r="D143" s="16" t="s">
        <v>510</v>
      </c>
    </row>
    <row r="144" spans="1:4">
      <c r="A144" s="16" t="s">
        <v>468</v>
      </c>
      <c r="B144" s="16">
        <v>3</v>
      </c>
      <c r="C144" s="16" t="s">
        <v>511</v>
      </c>
      <c r="D144" s="16" t="s">
        <v>512</v>
      </c>
    </row>
    <row r="145" spans="1:4">
      <c r="A145" s="16" t="s">
        <v>468</v>
      </c>
      <c r="B145" s="16">
        <v>7</v>
      </c>
      <c r="C145" s="16" t="s">
        <v>513</v>
      </c>
      <c r="D145" s="16" t="s">
        <v>514</v>
      </c>
    </row>
    <row r="146" spans="1:4">
      <c r="A146" s="16" t="s">
        <v>468</v>
      </c>
      <c r="B146" s="16">
        <v>9</v>
      </c>
      <c r="C146" s="16" t="s">
        <v>515</v>
      </c>
      <c r="D146" s="16" t="s">
        <v>516</v>
      </c>
    </row>
    <row r="147" spans="1:4">
      <c r="A147" s="16" t="s">
        <v>468</v>
      </c>
      <c r="B147" s="16">
        <v>9</v>
      </c>
      <c r="C147" s="16" t="s">
        <v>517</v>
      </c>
      <c r="D147" s="16" t="s">
        <v>518</v>
      </c>
    </row>
    <row r="148" spans="1:4">
      <c r="A148" s="16" t="s">
        <v>468</v>
      </c>
      <c r="B148" s="16">
        <v>9</v>
      </c>
      <c r="C148" s="16" t="s">
        <v>347</v>
      </c>
      <c r="D148" s="16" t="s">
        <v>519</v>
      </c>
    </row>
    <row r="149" spans="1:4">
      <c r="A149" s="16" t="s">
        <v>468</v>
      </c>
      <c r="B149" s="16">
        <v>10</v>
      </c>
      <c r="C149" s="16" t="s">
        <v>520</v>
      </c>
      <c r="D149" s="16" t="s">
        <v>521</v>
      </c>
    </row>
    <row r="150" spans="1:4">
      <c r="A150" s="16" t="s">
        <v>468</v>
      </c>
      <c r="B150" s="16">
        <v>10</v>
      </c>
      <c r="C150" s="16" t="s">
        <v>522</v>
      </c>
      <c r="D150" s="16" t="s">
        <v>523</v>
      </c>
    </row>
    <row r="151" spans="1:4">
      <c r="A151" s="16" t="s">
        <v>468</v>
      </c>
      <c r="B151" s="16">
        <v>12</v>
      </c>
      <c r="C151" s="16" t="s">
        <v>524</v>
      </c>
      <c r="D151" s="16" t="s">
        <v>525</v>
      </c>
    </row>
    <row r="152" spans="1:4">
      <c r="A152" s="16" t="s">
        <v>468</v>
      </c>
      <c r="B152" s="16">
        <v>12</v>
      </c>
      <c r="C152" s="16" t="s">
        <v>526</v>
      </c>
      <c r="D152" s="16" t="s">
        <v>527</v>
      </c>
    </row>
    <row r="153" spans="1:4">
      <c r="A153" s="16" t="s">
        <v>528</v>
      </c>
      <c r="B153" s="16">
        <v>14</v>
      </c>
      <c r="C153" s="16" t="s">
        <v>529</v>
      </c>
      <c r="D153" s="16" t="s">
        <v>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51</vt:i4>
      </vt:variant>
    </vt:vector>
  </HeadingPairs>
  <TitlesOfParts>
    <vt:vector size="58" baseType="lpstr">
      <vt:lpstr>Cover</vt:lpstr>
      <vt:lpstr>Inputs</vt:lpstr>
      <vt:lpstr>Model</vt:lpstr>
      <vt:lpstr>DCF</vt:lpstr>
      <vt:lpstr>SOTP</vt:lpstr>
      <vt:lpstr>Comps</vt:lpstr>
      <vt:lpstr>Guidance</vt:lpstr>
      <vt:lpstr>in_beta_raw</vt:lpstr>
      <vt:lpstr>in_capz</vt:lpstr>
      <vt:lpstr>in_cash</vt:lpstr>
      <vt:lpstr>in_debt_share</vt:lpstr>
      <vt:lpstr>in_dep</vt:lpstr>
      <vt:lpstr>in_ds</vt:lpstr>
      <vt:lpstr>in_erp</vt:lpstr>
      <vt:lpstr>in_execution</vt:lpstr>
      <vt:lpstr>in_g</vt:lpstr>
      <vt:lpstr>in_gsec</vt:lpstr>
      <vt:lpstr>in_holdco</vt:lpstr>
      <vt:lpstr>in_int</vt:lpstr>
      <vt:lpstr>in_inv_g</vt:lpstr>
      <vt:lpstr>in_jv0</vt:lpstr>
      <vt:lpstr>in_jv_g</vt:lpstr>
      <vt:lpstr>in_kd</vt:lpstr>
      <vt:lpstr>in_mi</vt:lpstr>
      <vt:lpstr>in_min_cash</vt:lpstr>
      <vt:lpstr>in_mult</vt:lpstr>
      <vt:lpstr>in_ngel_mcap</vt:lpstr>
      <vt:lpstr>in_ngel_stake</vt:lpstr>
      <vt:lpstr>in_oa</vt:lpstr>
      <vt:lpstr>in_oi</vt:lpstr>
      <vt:lpstr>in_ol</vt:lpstr>
      <vt:lpstr>in_payout</vt:lpstr>
      <vt:lpstr>in_pb_g</vt:lpstr>
      <vt:lpstr>in_price</vt:lpstr>
      <vt:lpstr>in_re_cost</vt:lpstr>
      <vt:lpstr>in_re_cuf</vt:lpstr>
      <vt:lpstr>in_re_margin</vt:lpstr>
      <vt:lpstr>in_re_mw0</vt:lpstr>
      <vt:lpstr>in_re_mw_prev</vt:lpstr>
      <vt:lpstr>in_re_share</vt:lpstr>
      <vt:lpstr>in_re_tariff</vt:lpstr>
      <vt:lpstr>in_regeq0</vt:lpstr>
      <vt:lpstr>in_regeq_prev</vt:lpstr>
      <vt:lpstr>in_regshare</vt:lpstr>
      <vt:lpstr>in_roe</vt:lpstr>
      <vt:lpstr>in_ronic</vt:lpstr>
      <vt:lpstr>in_shares</vt:lpstr>
      <vt:lpstr>in_stub</vt:lpstr>
      <vt:lpstr>in_tax</vt:lpstr>
      <vt:lpstr>in_w_dcf</vt:lpstr>
      <vt:lpstr>out_dcf_12m</vt:lpstr>
      <vt:lpstr>out_dcf_ps</vt:lpstr>
      <vt:lpstr>out_rating</vt:lpstr>
      <vt:lpstr>out_rel_ps</vt:lpstr>
      <vt:lpstr>out_sotp_ps</vt:lpstr>
      <vt:lpstr>out_tp</vt:lpstr>
      <vt:lpstr>out_upside</vt:lpstr>
      <vt:lpstr>wacc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2026-09-26T19:31:43Z</dcterms:created>
  <dcterms:modified xsi:type="dcterms:W3CDTF">2026-09-26T19:31:43Z</dcterms:modified>
</cp:coreProperties>
</file>