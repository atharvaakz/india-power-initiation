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4" activeTab="3"/>
  </bookViews>
  <sheets>
    <sheet name="Cover" sheetId="1" r:id="rId1"/>
    <sheet name="Inputs" sheetId="2" r:id="rId2"/>
    <sheet name="Model" sheetId="3" r:id="rId3"/>
    <sheet name="DCF" sheetId="4" r:id="rId4"/>
    <sheet name="Comps" sheetId="5" r:id="rId5"/>
    <sheet name="Guidance" sheetId="6" r:id="rId6"/>
  </sheets>
  <definedNames>
    <definedName name="in_beta_raw">Inputs!$C$10</definedName>
    <definedName name="in_capz">Inputs!$C$24</definedName>
    <definedName name="in_cash">Inputs!$C$16</definedName>
    <definedName name="in_debt_share">Inputs!$C$25</definedName>
    <definedName name="in_dep">Inputs!$C$23</definedName>
    <definedName name="in_drift">Inputs!$C$21</definedName>
    <definedName name="in_ds">Inputs!$C$5</definedName>
    <definedName name="in_erp">Inputs!$C$6</definedName>
    <definedName name="in_execution">Inputs!$C$19</definedName>
    <definedName name="in_g">Inputs!$C$12</definedName>
    <definedName name="in_gsec">Inputs!$C$4</definedName>
    <definedName name="in_int">Inputs!$C$26</definedName>
    <definedName name="in_inv_g">Inputs!$C$30</definedName>
    <definedName name="in_kd">Inputs!$C$11</definedName>
    <definedName name="in_mi">Inputs!$C$17</definedName>
    <definedName name="in_mult">Inputs!$C$18</definedName>
    <definedName name="in_oa">Inputs!$C$28</definedName>
    <definedName name="in_oi">Inputs!$C$22</definedName>
    <definedName name="in_ol">Inputs!$C$29</definedName>
    <definedName name="in_payout">Inputs!$C$27</definedName>
    <definedName name="in_price">Inputs!$C$14</definedName>
    <definedName name="in_ronic">Inputs!$C$13</definedName>
    <definedName name="in_shares">Inputs!$C$15</definedName>
    <definedName name="in_stub">Inputs!$C$8</definedName>
    <definedName name="in_tax">Inputs!$C$7</definedName>
    <definedName name="in_w_dcf">Inputs!$C$9</definedName>
    <definedName name="in_yield">Inputs!$C$20</definedName>
    <definedName name="out_dcf_ps">DCF!$C$34</definedName>
    <definedName name="out_rating">DCF!$C$40</definedName>
    <definedName name="out_rel_ps">DCF!$C$37</definedName>
    <definedName name="out_tp">DCF!$C$38</definedName>
    <definedName name="out_upside">DCF!$C$39</definedName>
    <definedName name="wacc">DCF!$C$11</definedName>
  </definedNames>
  <calcPr calcId="124519" fullCalcOnLoad="1"/>
</workbook>
</file>

<file path=xl/sharedStrings.xml><?xml version="1.0" encoding="utf-8"?>
<sst xmlns="http://schemas.openxmlformats.org/spreadsheetml/2006/main" count="649" uniqueCount="456">
  <si>
    <t>JSW Energy Ltd - inputs (Rs crore)</t>
  </si>
  <si>
    <t>Input</t>
  </si>
  <si>
    <t>Value</t>
  </si>
  <si>
    <t>Source / rationale</t>
  </si>
  <si>
    <t>India 10Y G-sec yield</t>
  </si>
  <si>
    <t>Trading Economics, 25-Sep-2026</t>
  </si>
  <si>
    <t>Sovereign default spread</t>
  </si>
  <si>
    <t>Damodaran, Jan-2026 (Baa3)</t>
  </si>
  <si>
    <t>Equity risk premium (India, total)</t>
  </si>
  <si>
    <t>Damodaran, Jan-2026</t>
  </si>
  <si>
    <t>Tax rate</t>
  </si>
  <si>
    <t>New corporate regime, 25.17% rounded</t>
  </si>
  <si>
    <t>FY27 fraction remaining</t>
  </si>
  <si>
    <t>Valuation date 25-Sep-2026</t>
  </si>
  <si>
    <t>Weight on DCF in target</t>
  </si>
  <si>
    <t>Balance on peer EV/EBITDA</t>
  </si>
  <si>
    <t>Raw beta (2y weekly vs Nifty 50)</t>
  </si>
  <si>
    <t>Computed from NSE prices</t>
  </si>
  <si>
    <t>Pre-tax cost of debt</t>
  </si>
  <si>
    <t>company-guided WACD</t>
  </si>
  <si>
    <t>Terminal growth</t>
  </si>
  <si>
    <t>Nominal INR</t>
  </si>
  <si>
    <t>Return on new invested capital (terminal)</t>
  </si>
  <si>
    <t>Cost of debt 8.36% (Q4FY26); RONIC 11.5%.</t>
  </si>
  <si>
    <t>Share price (Rs)</t>
  </si>
  <si>
    <t>NSE close 2026-09-25</t>
  </si>
  <si>
    <t>Shares outstanding (crore)</t>
  </si>
  <si>
    <t>NSE / yfinance</t>
  </si>
  <si>
    <t>Cash &amp; short-term investments FY26</t>
  </si>
  <si>
    <t>FY26 balance sheet</t>
  </si>
  <si>
    <t>Minority interest FY26</t>
  </si>
  <si>
    <t>Peer median EV/EBITDA FY26A</t>
  </si>
  <si>
    <t>Peers: TATAPOWER, ADANIPOWER, ADANIGREEN, TORNTPOWER</t>
  </si>
  <si>
    <t>Capex execution vs guidance</t>
  </si>
  <si>
    <t>Q4FY26 and Q1FY27 calls: ~Rs 20,000 cr capex and 3 GW additions in FY27, 1.1 GW already commissioned by July; target 30 GW generation by FY30 (32.1 GW locked in). Rs 22,000 cr/yr assumed to FY30, tapering after; 90% execution given the Q1 run-rate.</t>
  </si>
  <si>
    <t>EBITDA yield on commissioned assets</t>
  </si>
  <si>
    <t>FY26 revenue +61% on the O2 Power and KSK Mahanadi acquisitions; organic growth from 3 GW/yr additions fades as the FY30 target is reached.</t>
  </si>
  <si>
    <t>EBITDA growth of existing assets</t>
  </si>
  <si>
    <t>Other income % of sales</t>
  </si>
  <si>
    <t>Depreciation % opening net block</t>
  </si>
  <si>
    <t>Capitalisation % of (CWIP + capex)</t>
  </si>
  <si>
    <t>New debt % of capex</t>
  </si>
  <si>
    <t>Interest % average debt</t>
  </si>
  <si>
    <t>Dividend payout</t>
  </si>
  <si>
    <t>FY26 actual</t>
  </si>
  <si>
    <t>Other (non-cash) assets % of sales</t>
  </si>
  <si>
    <t>Other liabilities % of sales</t>
  </si>
  <si>
    <t>Investments growth</t>
  </si>
  <si>
    <t>JSW Energy Ltd - consolidated model (Rs crore)</t>
  </si>
  <si>
    <t>FY22A</t>
  </si>
  <si>
    <t>FY23A</t>
  </si>
  <si>
    <t>FY24A</t>
  </si>
  <si>
    <t>FY25A</t>
  </si>
  <si>
    <t>FY26A</t>
  </si>
  <si>
    <t>FY27E</t>
  </si>
  <si>
    <t>FY28E</t>
  </si>
  <si>
    <t>FY29E</t>
  </si>
  <si>
    <t>FY30E</t>
  </si>
  <si>
    <t>FY31E</t>
  </si>
  <si>
    <t>FY32E</t>
  </si>
  <si>
    <t>FY33E</t>
  </si>
  <si>
    <t>Drivers</t>
  </si>
  <si>
    <t>Income statement</t>
  </si>
  <si>
    <t>Balance sheet</t>
  </si>
  <si>
    <t>Capex and commissioning</t>
  </si>
  <si>
    <t>Cash flow</t>
  </si>
  <si>
    <t>Ratios</t>
  </si>
  <si>
    <t>Capex guided (mgmt)</t>
  </si>
  <si>
    <t>EBITDA margin</t>
  </si>
  <si>
    <t>Revenue</t>
  </si>
  <si>
    <t>EBITDA</t>
  </si>
  <si>
    <t>Other income</t>
  </si>
  <si>
    <t>Depreciation</t>
  </si>
  <si>
    <t>Interest</t>
  </si>
  <si>
    <t>Profit before tax</t>
  </si>
  <si>
    <t>Tax</t>
  </si>
  <si>
    <t>Net profit</t>
  </si>
  <si>
    <t>EPS (Rs)</t>
  </si>
  <si>
    <t>Dividends</t>
  </si>
  <si>
    <t>Net block</t>
  </si>
  <si>
    <t>Capital work in progress</t>
  </si>
  <si>
    <t>Investments</t>
  </si>
  <si>
    <t>Other assets (non-cash)</t>
  </si>
  <si>
    <t>Cash build from FY26</t>
  </si>
  <si>
    <t>Total assets</t>
  </si>
  <si>
    <t>Equity capital</t>
  </si>
  <si>
    <t>Reserves</t>
  </si>
  <si>
    <t>Borrowings</t>
  </si>
  <si>
    <t>Other liabilities</t>
  </si>
  <si>
    <t>Total liabilities &amp; equity</t>
  </si>
  <si>
    <t>Balance check (assets - liabilities)</t>
  </si>
  <si>
    <t>Capex</t>
  </si>
  <si>
    <t>Assets commissioned (CWIP to block)</t>
  </si>
  <si>
    <t>Increase in net working capital</t>
  </si>
  <si>
    <t>Cash from operations</t>
  </si>
  <si>
    <t>Cash from investing</t>
  </si>
  <si>
    <t>Cash from financing</t>
  </si>
  <si>
    <t>Net debt / EBITDA</t>
  </si>
  <si>
    <t>Return on average equity</t>
  </si>
  <si>
    <t>JSW Energy Ltd - valuation</t>
  </si>
  <si>
    <t>Cost of capital</t>
  </si>
  <si>
    <t>Risk-free (INR, G-sec less default spread)</t>
  </si>
  <si>
    <t>Beta (Blume-adjusted)</t>
  </si>
  <si>
    <t>Cost of equity</t>
  </si>
  <si>
    <t>Post-tax cost of debt</t>
  </si>
  <si>
    <t>Borrowings FY26</t>
  </si>
  <si>
    <t>Market cap</t>
  </si>
  <si>
    <t>Debt weight</t>
  </si>
  <si>
    <t>WACC</t>
  </si>
  <si>
    <t>Free cash flow to firm</t>
  </si>
  <si>
    <t>NOPAT</t>
  </si>
  <si>
    <t>Increase in NWC</t>
  </si>
  <si>
    <t>FCFF</t>
  </si>
  <si>
    <t>FCFF (stub-adjusted)</t>
  </si>
  <si>
    <t>Discount period (yrs)</t>
  </si>
  <si>
    <t>Discount factor</t>
  </si>
  <si>
    <t>PV of FCFF</t>
  </si>
  <si>
    <t>PV of explicit FCFF</t>
  </si>
  <si>
    <t>Terminal value (value-driver)</t>
  </si>
  <si>
    <t>PV of terminal value</t>
  </si>
  <si>
    <t>Enterprise value</t>
  </si>
  <si>
    <t>Less: borrowings FY26</t>
  </si>
  <si>
    <t>Add: cash</t>
  </si>
  <si>
    <t>Add: investments (book)</t>
  </si>
  <si>
    <t>Less: minority interest</t>
  </si>
  <si>
    <t>Equity value</t>
  </si>
  <si>
    <t>DCF value per share (Rs)</t>
  </si>
  <si>
    <t>Terminal value share of EV</t>
  </si>
  <si>
    <t>Peer EV/EBITDA x FY26A EBITDA</t>
  </si>
  <si>
    <t>Relative value per share (Rs)</t>
  </si>
  <si>
    <t>Target price (Rs)</t>
  </si>
  <si>
    <t>Upside / (downside)</t>
  </si>
  <si>
    <t>Rating</t>
  </si>
  <si>
    <t>DCF value per share: WACC (rows) x terminal growth (cols)</t>
  </si>
  <si>
    <t>JSW Energy Ltd</t>
  </si>
  <si>
    <t>Current price (Rs)</t>
  </si>
  <si>
    <t>Upside</t>
  </si>
  <si>
    <t>DCF value (Rs)</t>
  </si>
  <si>
    <t>Peer-multiple value (Rs)</t>
  </si>
  <si>
    <t>Blue = input, black = formula. Change Inputs or the capex/margin rows on Model.</t>
  </si>
  <si>
    <t>Prices as of 2026-09-25. Student research exercise, not investment advice.</t>
  </si>
  <si>
    <t>Listed power comps, FY26A</t>
  </si>
  <si>
    <t>Company</t>
  </si>
  <si>
    <t>Segment</t>
  </si>
  <si>
    <t>Mcap</t>
  </si>
  <si>
    <t>EV</t>
  </si>
  <si>
    <t>EV/EBITDA</t>
  </si>
  <si>
    <t>P/E</t>
  </si>
  <si>
    <t>P/B</t>
  </si>
  <si>
    <t>ROE</t>
  </si>
  <si>
    <t>ND/EBITDA</t>
  </si>
  <si>
    <t>Adani Power</t>
  </si>
  <si>
    <t>IPP / thermal</t>
  </si>
  <si>
    <t>NTPC Ltd</t>
  </si>
  <si>
    <t>Integrated / thermal-led</t>
  </si>
  <si>
    <t>Power Grid Corp</t>
  </si>
  <si>
    <t>Transmission / PSU</t>
  </si>
  <si>
    <t>Adani Green Energy</t>
  </si>
  <si>
    <t>Renewables</t>
  </si>
  <si>
    <t>Tata Power</t>
  </si>
  <si>
    <t>Integrated / private</t>
  </si>
  <si>
    <t>JSW Energy</t>
  </si>
  <si>
    <t>IPP / private</t>
  </si>
  <si>
    <t>NHPC</t>
  </si>
  <si>
    <t>Hydro / PSU</t>
  </si>
  <si>
    <t>Torrent Power</t>
  </si>
  <si>
    <t>NLC India</t>
  </si>
  <si>
    <t>Lignite-thermal / PSU</t>
  </si>
  <si>
    <t>SJVN</t>
  </si>
  <si>
    <t>CESC</t>
  </si>
  <si>
    <t>JP Power Ventures</t>
  </si>
  <si>
    <t>Reliance Power</t>
  </si>
  <si>
    <t>PTC India</t>
  </si>
  <si>
    <t>Power trading</t>
  </si>
  <si>
    <t>Management guidance extracted from earnings calls (NSE filings)</t>
  </si>
  <si>
    <t>Call</t>
  </si>
  <si>
    <t>Page</t>
  </si>
  <si>
    <t>Figures</t>
  </si>
  <si>
    <t>Sentence</t>
  </si>
  <si>
    <t>Q1FY27</t>
  </si>
  <si>
    <t>150 MW; 22 Crore</t>
  </si>
  <si>
    <t>The 150 MW was driven by the early commissioning of Tidong Hydro, originally scheduled for October 2026, which contributed an incremental ₹20-22 Crore to EBITDA in Q1 itself and will allow us to capture the ongoing hydrology season.</t>
  </si>
  <si>
    <t>600 MW</t>
  </si>
  <si>
    <t>My second question on the thermal space is you have introduced 600 MW Mahanadi under under construction projects now.</t>
  </si>
  <si>
    <t>85%</t>
  </si>
  <si>
    <t>Sharad Mahendra: If you look at Mahanadi, the plant availability entitlement is considered over the entire year and is around 85%.</t>
  </si>
  <si>
    <t>3 GW</t>
  </si>
  <si>
    <t>Rajesh Majumdar: And next year also, we plan to add about 3 GW or similar?</t>
  </si>
  <si>
    <t>20,000 crore</t>
  </si>
  <si>
    <t>And if we look at it, you talked about ₹ 20,000 crores capex for the year.</t>
  </si>
  <si>
    <t>80%</t>
  </si>
  <si>
    <t>So there also, it was again a plant shutdown to ensure the annual availability we have to ensure we achieve of 80% so that's my fixed cost.</t>
  </si>
  <si>
    <t>25%; 30%; 1,800 MW; 3,600 MW</t>
  </si>
  <si>
    <t>As compared to that, Mahanadi, when we will be completing, I can say definitely that we will be at least 25% to 30% lower while doubling the capacity from 1,800 MW to 3,600 MW.</t>
  </si>
  <si>
    <t>1,900 MW; 3 GW; 100%</t>
  </si>
  <si>
    <t>But whatever 1,900 MW we have to commission to reach the 3 GW guidance we have given, we are absolutely 100% secured from connectivity and which is all commissioned also.</t>
  </si>
  <si>
    <t>1.9 GW; 28%; 1.9 GW; 530 MW; 1.9 GW</t>
  </si>
  <si>
    <t>Now, balance 1.9 GW, which we have to commission in this year, I just want to tell you that out of this 28% of the capacity of 1.9 GW, what we are doing, maybe more than 530 MW of balance 1.9 GW, which we have to execute, is our group captive, which is a mix of off grid also.</t>
  </si>
  <si>
    <t>1.1 GW</t>
  </si>
  <si>
    <t>As I said, till date, in the current year since April 1, we have commissioned 1.1 GW of fresh capacity.</t>
  </si>
  <si>
    <t>But to remember, even if it is merchant, with next to the mine and the coal cost being so low, the cost at which we will be completing this project, another 600 MW, will be significantly lower than the benchmark per MW cost of capacity addition, I think this will remain attractive in both the ways, whether it is merchant or whether it is in long-term PPA.</t>
  </si>
  <si>
    <t>800 MW</t>
  </si>
  <si>
    <t>But we are totally de-risked in terms of the supply chain of boiler, turbine, generators for all our 800 MW expansion plants.</t>
  </si>
  <si>
    <t>1.6 GW</t>
  </si>
  <si>
    <t>But with some de-bottlenecking and some minor investment, what we have already planned, this will go to 2 x 800, means 1.6 GW capacity because the TJPS, Toshiba JSW plant in Chennai is already having a capacity of 2 x 800.</t>
  </si>
  <si>
    <t>3.6 GW</t>
  </si>
  <si>
    <t>For another 2 units, we are in discussions, and we will be making the announcement at the right time very soon that what is our strategy for fifth and sixth unit to make it from 1.8 to 3.6 GW.</t>
  </si>
  <si>
    <t>And given you are looking to commission 600 MW Mahanadi by FY28, how is that going to pan out in terms of equipment sourcing?</t>
  </si>
  <si>
    <t>Can you maybe indicate what kind of capex we can look at for the 600 MW and the remaining capacity Sharad Mahendra: See, I can tell you at what we execute the greenfield project we are doing at Salboni also, for which we have placed the order.</t>
  </si>
  <si>
    <t>50%</t>
  </si>
  <si>
    <t>In other plants, we don't need, but we are building the capability to even operate at maybe below 50% also, which we have already done in our Ratnagiri and Vijayanagar plants.</t>
  </si>
  <si>
    <t>5%; 64 MW</t>
  </si>
  <si>
    <t>In addition, the plant provides 5% power at variable cost to the Chhattisgarh discom, while the balance ~64 MW capacity is sold in the merchant market.</t>
  </si>
  <si>
    <t>533 crore</t>
  </si>
  <si>
    <t>Coming to the bottom line, Profit After Tax stood at ₹533 crore, declining year-on-year on account of the higher capitalisation impact as new assets are commissioned.</t>
  </si>
  <si>
    <t>12,880 crore; 20,000 crore</t>
  </si>
  <si>
    <t>Together, this gives us an ample liquidity cushion of about ₹12,880 crore in cash balances, comfortably funding the equity portion of our estimated ₹20,000 crore FY27 capex and 2030 growth plans, with headroom for further growth.</t>
  </si>
  <si>
    <t>270 GW; 300 GW</t>
  </si>
  <si>
    <t>On July 16th, we saw another peak of 270 GW, and demand is expected to touch 300 GW in the near term.</t>
  </si>
  <si>
    <t>8%</t>
  </si>
  <si>
    <t>India's growing global economic stature — contributing approximately 8% of world GDP on a PPP-adjusted basis — coupled with its continued high GDP growth outlook, should support sustained power demand growth.</t>
  </si>
  <si>
    <t>300 MW</t>
  </si>
  <si>
    <t>JSW Energy Limited July 22, 2026 Page 4 of 16 Accordingly, we signed a definitive agreement to acquire Maruti Clean Coal &amp; Power Limited, which operates a 300 MW thermal plant in Chhattisgarh.</t>
  </si>
  <si>
    <t>195 MW</t>
  </si>
  <si>
    <t>The plant has a long-term PPA of 195 MW (net) with Rajasthan discoms, with a residual PPA life of 14 years.</t>
  </si>
  <si>
    <t>3 GW; 20,000 crore; 36%; 87%</t>
  </si>
  <si>
    <t>We remain firmly on track to deliver our FY27 annual target of 3 GW capacity addition and ₹20,000 crore capex — having already achieved close to 36% of the FY27 capacity guidance, and surpassed about 87% of the total capacity added in all of FY26.</t>
  </si>
  <si>
    <t>10.7%; 2.4%</t>
  </si>
  <si>
    <t>On the thermal side, we increased our stake in Toshiba JSW Power Systems JV to 10.7% from 2.4% earlier – this is aimed at de-risking our equipment supply chain and building thermal capacity at one of the lowest capital costs in the industry.</t>
  </si>
  <si>
    <t>On the wind side, we commissioned our wind blade manufacturing facility at Halol, Gujarat on June 8th — with an annual capacity of 450 blades, sufficient to support approximately 600 MW of wind installations per annum, strengthening backward integration in the segment and supporting a lower LCOE.</t>
  </si>
  <si>
    <t>5 GW; 440 crore</t>
  </si>
  <si>
    <t>On the 5 GWh battery plant which we have commissioned in Q4FY26, we have received our first large external order of about ₹ 440 crore.</t>
  </si>
  <si>
    <t>5%; 12.9 billion units</t>
  </si>
  <si>
    <t>Now, coming to operational performance for the quarter, net generation for Q1 FY27 declined marginally by 5% year-on-year to 12.9 billion units, primarily driven by lower generation at Mahanadi and our Hydro plants.</t>
  </si>
  <si>
    <t>100%</t>
  </si>
  <si>
    <t>However, with the onset of monsoons, water flow has normalized, and generation in July till date has been excellent, with our Karcham, Baspa, and Kutehr plants operating at over 100%</t>
  </si>
  <si>
    <t>Further, on our organic thermal growth — please refer to slide 22 — our first Salboni plant has received all key clearances, 100% of land has been acquired, equipment orders are placed, and site work is now in full swing.</t>
  </si>
  <si>
    <t>Q4FY26</t>
  </si>
  <si>
    <t>Sharad Mahendra: You see, as I have said, that approximately close to about 3 GW of capacity additions will happen in FY27, which will be a mix of solar, wind and hybrid projects.</t>
  </si>
  <si>
    <t>5 GW</t>
  </si>
  <si>
    <t>Sir, just sort of delving deeper into this 5 GWh BESS cell-to-pack assembly plant that we have operationalized.</t>
  </si>
  <si>
    <t>My first question is, on the 3 GW that you're looking to commission in renewable in FY27, what would be the broad phase of commissioning of these capacities from Q1 to Q4, if you could give us some sense?</t>
  </si>
  <si>
    <t>So, when you said about ₹200 billion of Capex, I mean, the free cashflow that you are generating right now or basically your EBITDA less your Net Interest Cost and the tax adjustment, that seems to be enough to take care of the equity requirement for ₹20,000 crores of Capex.</t>
  </si>
  <si>
    <t>20,000 crore; 20,000 crore</t>
  </si>
  <si>
    <t>Now, with the existing ₹20,000 crores, the cashflows which we generate and with the kind of Net Debt/EBITDA, I think within those ratios, we will be able to easily manage these ₹20,000 crores which we talked about.</t>
  </si>
  <si>
    <t>So, just one last question, trying to understand the broad breakup of this ₹20,000 crore Capex because there is some allocation that should start happening to the Salboni project, something to the Battery Energy Storage System project that you are commissioning, the Pump Storage Hydro.</t>
  </si>
  <si>
    <t>20,000 crore; 5,000 crore</t>
  </si>
  <si>
    <t>But if you want the breakup, it can be like ₹20,000 crores we have said, you can say ₹4,000-₹5,000 crores will be for these projects, which are the thermal project and the pump storage and rest all will be in the wind and solar space, and battery energy.</t>
  </si>
  <si>
    <t>Because you are going to commission 3 GW, what percentage of the investment has already happened, just to understand?</t>
  </si>
  <si>
    <t>So, we don't see any challenges and with large significant portion of our capacity at advanced stage of commissioning, we are confident at this time that definitely 3 GW of capacity addition will happen without any challenge.</t>
  </si>
  <si>
    <t>2,700 crore</t>
  </si>
  <si>
    <t>Sharad Mahendra: And with the steps we are taking, we are confident that we will be delivering better than the steady state EBITDA what Bikash just said of 2,700 crores, we can say that.</t>
  </si>
  <si>
    <t>30 GW; 3 GW</t>
  </si>
  <si>
    <t>Sharad Mahendra: See, as we have said that we have to reach 30 GW by FY30 and if we add maybe 3 GW this year.</t>
  </si>
  <si>
    <t>6 GW</t>
  </si>
  <si>
    <t>And for a commission wind and solar portfolio, which is almost 6 GW, what would be the annual steady state EBITDA?</t>
  </si>
  <si>
    <t>2,650 crore</t>
  </si>
  <si>
    <t>One is that in FY25 March when we acquired, the full year EBITDA that plant made from the operations was around 2,650 crores.</t>
  </si>
  <si>
    <t>1.5%; 2%</t>
  </si>
  <si>
    <t>Sharad Mahendra: See, with this new DSM regulations we expect a total impact which we have budgeted in our plan is between 1.5% – 2%.</t>
  </si>
  <si>
    <t>23%; 24%</t>
  </si>
  <si>
    <t>So, I think going forward, that will be this one, I think we will be inching close to the effective tax rate of 23%- to 24% going forward.</t>
  </si>
  <si>
    <t>The first question is on the RE commissioning you talked about 3 GW this year.</t>
  </si>
  <si>
    <t>And as I said that this time, as compared to the previous year, in H1, we will be seeing almost close to 50% of the capacity coming up, which means that the project is at an advanced stage, connectivity is available.</t>
  </si>
  <si>
    <t>So, we are certain that the current 3 GW in the current year, we are absolutely certain that this will be there.</t>
  </si>
  <si>
    <t>So, connectivity is available for whatever we are 3 GW we are planning, whether it is STU or CTU.</t>
  </si>
  <si>
    <t>3 GW; 35%; 40%</t>
  </si>
  <si>
    <t>But maybe you can say in terms of, if I have to give a percentage, maybe out of 3 GW, close to about 35%-40% will be wind, rest all is solar.</t>
  </si>
  <si>
    <t>8.36%</t>
  </si>
  <si>
    <t>On the cost of capital: consistent with our earlier guidance, our weighted average cost of debt declined by approximately 67 basis points year-on-year - to 8.36% as of March 2026.</t>
  </si>
  <si>
    <t>4.6 GW</t>
  </si>
  <si>
    <t>Beyond this we have a robust project pipeline of approximately 4.6 GW where Letters of Intent have been secured.</t>
  </si>
  <si>
    <t>270 GW; 5%; 6%; 30 GW; 40 GW</t>
  </si>
  <si>
    <t>India's power demand recovery - with the government projecting peak demand of 270 GW this summer and medium-term CAGR of 5% to 6% - provides a strong tailwind for our growing portfolio and remain fully on track towards our FY2030 targets of 30 GW of generation capacity and 40 GWh of energy storage.</t>
  </si>
  <si>
    <t>256 GW; 270 GW; 250 GW</t>
  </si>
  <si>
    <t>Peak demand, on 25th April’26, reached 256 GW, and with the summer of 2026 now commenced and expected to be severe, the system is positioning to handle a new peak of approximately 270 GW - higher than the 250 GW record seen in May 2024.</t>
  </si>
  <si>
    <t>240 MW; 305 MW; 451 MW; 240 MW</t>
  </si>
  <si>
    <t>The additions span organic commissioning across wind (240 MW), solar (305 MW), hybrid (451 MW) and hydro (240 MW) assets, and the full integration of all the inorganic acquisitions completed in FY25 and FY26.</t>
  </si>
  <si>
    <t>1.2 GW</t>
  </si>
  <si>
    <t>On the organic front, we commissioned 1.2 GW of new capacity during FY2026.</t>
  </si>
  <si>
    <t>150 MW</t>
  </si>
  <si>
    <t>We also acquired the 150 MW Tidong hydropower plant from Statkraft, which is at an advanced stage of completion.</t>
  </si>
  <si>
    <t>50MW</t>
  </si>
  <si>
    <t>50MW of this has already been commissioned on 8th May 2026 and balance two units are expected to be commissioned before June’26.</t>
  </si>
  <si>
    <t>3 GW; 20,000 Crore</t>
  </si>
  <si>
    <t>This Fiscal year, we are looking to add about 3 GW capacity and a capex spent of around Rs 20,000 Crores for the year.</t>
  </si>
  <si>
    <t>On our thermal optionality at KSK, we expect the first 600 MW to be commissioned by mid of next fiscal year.</t>
  </si>
  <si>
    <t>240 MW</t>
  </si>
  <si>
    <t>Notably, the 240 MW Kutehr hydroelectric project was commissioned in Q2 FY2026 in one of the fastest timelines for a project of its scale, further cementing our position as the largest private IPP in the hydro sector.</t>
  </si>
  <si>
    <t>32.1 GW; 30 GW</t>
  </si>
  <si>
    <t>Our total locked- in capacity now stands at 32.1 GW, placing us firmly on track to deliver the 30 GW target of generation by 2030, under Strategy 3.0.</t>
  </si>
  <si>
    <t>43%</t>
  </si>
  <si>
    <t>Thermal generation grew 43% YoY to 8.8 BUs, driven primarily by robust off take at our Mahanadi and Utkal plants.</t>
  </si>
  <si>
    <t>93%</t>
  </si>
  <si>
    <t>Our KSK plant’s PLF for Q4FY26 remained robust at 93%.</t>
  </si>
  <si>
    <t>3,300 Crore</t>
  </si>
  <si>
    <t>3,300 Crore in FY26, also driven by fuel cost reduction through optimum sourcing of coal from nearby mines resulting in lower logistics cost, just like we did for our Utkal plant as well.</t>
  </si>
  <si>
    <t>75%</t>
  </si>
  <si>
    <t>Further, at Utkal, both of our Units are fully operational, and the plant registered a PLF of 75% in Q4 FY26.</t>
  </si>
  <si>
    <t>79%</t>
  </si>
  <si>
    <t>Driven by full tie-up that we had done earlier, our Vijayanagar plant’s PLF also stood robust at 79% in Q4.</t>
  </si>
  <si>
    <t>Further, our 5 GWh battery assembly facility in Pune was commissioned in Q4 FY26, and the commercial sales of the battery storage have already commenced.</t>
  </si>
  <si>
    <t>5%; 400 MW; 115 MW</t>
  </si>
  <si>
    <t>With open capacity now at about 5% of our installed base - and a 25-year, 400 MW PPA for the Utkal plant at ₹5.78 per unit, and another 2-year 115 MW PPA with Assam discom, with effect from 1st April 2026, the quality of our underlying EBITDA has improved substantially.</t>
  </si>
  <si>
    <t>Q3FY26</t>
  </si>
  <si>
    <t>But do you foresee a reduction in the total bidding space, particularly in the renewable space next year in terms of the overall market size, in which case, keeping our market share around the same, the level of additions will be limited to about 2.5 to 3 GWs per annum barring the locked in capacity.</t>
  </si>
  <si>
    <t>27.5 GW</t>
  </si>
  <si>
    <t>Bikash Chowdhury: So Mohit, just to add on what sir mentioned - with our current operational capacity and the projects under construction, we are already at 27.5 GW.</t>
  </si>
  <si>
    <t>4.5 GW</t>
  </si>
  <si>
    <t>In addition, we have a pipeline of 4.5 GW, and the details of that pipeline are already available.</t>
  </si>
  <si>
    <t>30 GW</t>
  </si>
  <si>
    <t>And we are more than certain that we'll reach 30 GW by 2030.</t>
  </si>
  <si>
    <t>97 GW</t>
  </si>
  <si>
    <t>See, the Government of India has announced 97 GW of capacity addition, fresh capacity commissioning by 2034 -- '32 to '34 period.</t>
  </si>
  <si>
    <t>4 GW</t>
  </si>
  <si>
    <t>Rajesh Majumdar: But even with that, you are saying you will be -- your assumptions assume around 4 GW additions per annum.</t>
  </si>
  <si>
    <t>1.8 GW</t>
  </si>
  <si>
    <t>So this will be completing additional capacity of 1.8 GW at KSK will be coming at a much lower specific cost, capex as compared to a greenfield and tariffs, as you rightly said, what are prevailing in the market.</t>
  </si>
  <si>
    <t>We have started capex on the additional 1.8 GW at KSK?</t>
  </si>
  <si>
    <t>13%; 14%; 15%</t>
  </si>
  <si>
    <t>So is that a target in your calculation at all to get the reported ROEs to a 13%, 14%, 15% kind of number or you are okay to continue at a very suppressed PBT level?</t>
  </si>
  <si>
    <t>3.2 GW</t>
  </si>
  <si>
    <t>But for the boiler for 3.2 GW, what is the plan?</t>
  </si>
  <si>
    <t>And some we are expecting shortly to get signed and others, we are waiting, but keeping in mind that our contracted capacity and the PPA signed capacity, the gap is such that we are absolutely certain, the 30 GW number what we are telling by 2030, that is on track.</t>
  </si>
  <si>
    <t>1.5 GW</t>
  </si>
  <si>
    <t>My second question is on -- you had targeted in the second half of the year to commission about 1.5 GW, if I recollect.</t>
  </si>
  <si>
    <t>Sharad Mahendra: See, yes, FY '27 and FY '28, more or less whatever plans we have to reach our 30 GW by 2030, we are on track.</t>
  </si>
  <si>
    <t>1.5 GW; 125 MW</t>
  </si>
  <si>
    <t>See, Sumit, one is that, as we have said earlier, you rightly said that 1.5 GW of fresh capacity addition during H2 of current fiscal, out of which 125 MW we have commissioned during quarter 3.</t>
  </si>
  <si>
    <t>16,000 crore; 800 MW</t>
  </si>
  <si>
    <t>And also in terms of the capex - we will be announcing, but yes, you can benchmark - whatever we have said in the domain is that the Phase 1 about ₹16,000 crores of investment for 2 *800 MW which we have announced earlier, so we'll be around that number only.</t>
  </si>
  <si>
    <t>10.7 GW; 32.1 GW</t>
  </si>
  <si>
    <t>With this, our secured thermal capacity stands at 10.7 GW and locked-in capacity at 32.1 GW, providing ample visibility to our ambitious 2030 target.</t>
  </si>
  <si>
    <t>1,600 MW</t>
  </si>
  <si>
    <t>The project benefits from its strategic proximity to coal blocks, as well as synergies with the existing 1,600 MW unit under construction, driving significant operational efficiencies.</t>
  </si>
  <si>
    <t>30 GW; 5.7 GW</t>
  </si>
  <si>
    <t>As we scale beyond 30 GW, this is expected to further increase to approximately 5.7 GW.</t>
  </si>
  <si>
    <t>55%</t>
  </si>
  <si>
    <t>Thermal generation increased by 55% year on year, primarily driven by contributions from KSK and capacity additions at our Utkal plant.</t>
  </si>
  <si>
    <t>8%; 5%; 400 MW</t>
  </si>
  <si>
    <t>Currently, our open capacity stands at approximately 8%, which will further reduce to around 5% from April 1, 2026, following the securing of a 400 MW 25-year PPA for our Utkal plant with Karnataka discoms.</t>
  </si>
  <si>
    <t>18.7 GW; 29.6 GW; 30 GW; 40 GW</t>
  </si>
  <si>
    <t>We have already locked in about 18.7 GW of incremental capacity in generation and 29.6 GW hour in storage, which will take our installed capacity beyond our stated target of 30 GW in generation while we are confident of achieving our 40 GW hour in storage by 2030.</t>
  </si>
  <si>
    <t>And in the current quarter, the capacity additions, which are going to take place, we will be meeting the guidance what we have given for 1.5 GW in second half of current fiscal.</t>
  </si>
  <si>
    <t>Q2FY26</t>
  </si>
  <si>
    <t>3.4 GW; 2.3 GW</t>
  </si>
  <si>
    <t>You have also shown photographs in your presentation of 3.4 GW solar, 2.3 GW wind, which is under construction at various sites.</t>
  </si>
  <si>
    <t>75 MW</t>
  </si>
  <si>
    <t>Expected to be commissioned by October 2026, the plant has a 22- year Power Purchase Agreement (PPA) with Uttar Pradesh Power Corporation for 75 MW, while the remaining capacity offers attractive potential in the merchant power market.</t>
  </si>
  <si>
    <t>2.3 GW; 15 GW</t>
  </si>
  <si>
    <t>With 2.3 GW of capacity already added in H1 FY26, we are well-positioned to achieve our generation capacity target in excess of 15 GW by the end of fiscal year.</t>
  </si>
  <si>
    <t>30 MW; 40 MW; 50 MW</t>
  </si>
  <si>
    <t>So, conceptually, the way to understand this is that if suppose I am building a 100-MW plant, right, and only 30 MW or 40 MW or 50 MW is commissioned, the evacuation of that power is allowed under TGNA, right?</t>
  </si>
  <si>
    <t>And you had talked about a 3 to 4 GW addition target on an organic basis in FY26.</t>
  </si>
  <si>
    <t>2.6 GW</t>
  </si>
  <si>
    <t>So, out of the 2.6 GW that is still pending for PPAs, can we expect over the next 6 months that is by the end of this year, we will be able to sign those PPAs?</t>
  </si>
  <si>
    <t>15 GW</t>
  </si>
  <si>
    <t>And now in the second half of the year, the projects, what the capacity which I have indicated also that in excess of 15 GW we will be closing the year.</t>
  </si>
  <si>
    <t>10 GW; 50 GW</t>
  </si>
  <si>
    <t>So, do you think that this is the new normal like 5, 10 GW more in the second half, or can we still achieve the ambitious target of 40, 50 GWs RE bidding on an annual basis?</t>
  </si>
  <si>
    <t>1,800 MW</t>
  </si>
  <si>
    <t>Amit Bhinde: Sir, I wanted to understand whether we will be aiming to start the remaining 1,800 MWs of KSK Mahanadi by 2031.</t>
  </si>
  <si>
    <t>1,800 MW; 1,800 MW; 40%</t>
  </si>
  <si>
    <t>Sharad Mahendra: See, yes, we have been maintaining that this is an 1,800 MW operational plant and 1,800 MWs of which the balance of plant is fully ready and maybe the 4th unit 40% of the work is complete and also 5th and 6th units, minor work has already been completed.</t>
  </si>
  <si>
    <t>150 MW; 1,728 crore</t>
  </si>
  <si>
    <t>As part of our continued strategic growth, I’m pleased to share that we have signed a definitive agreement to acquire the 150 MW Tidong Hydro Power Plant from Statkraft at an enterprise valuation of ₹1,728 crore.</t>
  </si>
  <si>
    <t>Battery Assembly Plant in Pune: As previously communicated, we are in the process of establishing a battery assembly plant in Pune with a rated capacity of 5 GWh per annum.</t>
  </si>
  <si>
    <t>1,800 MW; 1,800 MW</t>
  </si>
  <si>
    <t>This entity currently supplies raw water to our 1,800 MW KSK Mahanadi Thermal Power Plant and is equipped to support an additional 1,800 MW, ensuring readiness for our future expansion.</t>
  </si>
  <si>
    <t>240 MW; 148 MW; 56 MW</t>
  </si>
  <si>
    <t>Among these additions, I am proud to highlight the commissioning of our green-field Kutehr 240 MW hydro generation project, wind 148 MW and solar 56 MW.</t>
  </si>
  <si>
    <t>1,30,000 crore; 30 GW; 40 GW</t>
  </si>
  <si>
    <t>JSW Energy Limited October 17, 2025 Page 5 of 18 We had earlier guided for a capital expenditure of ₹1,30,000 crore by 2030 to achieve a capacity of 30 GW and 40 GWh of energy storage.</t>
  </si>
  <si>
    <t>48 GW; 33 GW; 16 GW</t>
  </si>
  <si>
    <t>Over the past 12 months, 48 GW has been added, with 33 GW and 16 GW commissioned in H1 and Q2 respectively.</t>
  </si>
  <si>
    <t>15 GW; 35 GW</t>
  </si>
  <si>
    <t>Considering the biddings of 15 GW of projects awarded in FY25 and approximately 35 GW of capacity under-construction; all these capacities should be commissioned in next 5-7 years.</t>
  </si>
  <si>
    <t>788 MW; 1.1 GW</t>
  </si>
  <si>
    <t>Even on our current untied capacity, our domestic coal merchant exposure is 788 MW out of total merchant exposure of approximate 1.1 GW; this ensures feasibility of the plant to generate attractive dark spreads even at lower merchant prices.</t>
  </si>
  <si>
    <t>400 MW; 700 MW; 8%; 5%</t>
  </si>
  <si>
    <t>Recently we have received an LOA of 400 MW for our 700 MW UTKAL plant, which is currently an open capacity – once this LOA is converted to PPA, it will further enhance our cashflow predictability, and take our open capacity from currently at 8% to 5%.</t>
  </si>
  <si>
    <t>5 MW; 20 MW</t>
  </si>
  <si>
    <t>Earlier we had commissioned 5 MW agrivoltaics in Vijayanagar and now we commissioned our first 20 MW floating solar project again at Vijayanagar—this showcases our ability to deliver long term sustainable and innovative energy solutions.</t>
  </si>
  <si>
    <t>Further, our 240 MW Kutehr Hydro Power Plant, is one of the fastest greenfield hydro projects to be completed in India.</t>
  </si>
  <si>
    <t>58%</t>
  </si>
  <si>
    <t>The timing of the commissioning allowed us to capitalize on the high-generation season in Q2, resulting in an impressive 58% PLF for the operational days of the quarter.</t>
  </si>
  <si>
    <t>16%; 13%</t>
  </si>
  <si>
    <t>In our hydro portfolio, Karcham-Wangtoo and BASPA plants exceeded design energy generation by 16% in Q2 and 13% in H1 FY26.</t>
  </si>
  <si>
    <t>Q1FY26</t>
  </si>
  <si>
    <t>60,000 crore; 15,000 crore</t>
  </si>
  <si>
    <t>The net debt is ₹60,000 crores around at the end of 1Q, and we are talking about ₹15,000 crore capex for the year.</t>
  </si>
  <si>
    <t>1,600 megawatt</t>
  </si>
  <si>
    <t>Sir, beyond Salboni, 1,600 megawatts, could you throw some color on your thermal expansion plans, specifically where you might have land already available or where you have some visibility on fuel supply or some kind of visibility on PPA?</t>
  </si>
  <si>
    <t>1.8 gigawatt</t>
  </si>
  <si>
    <t>Atul, as you may recall that after our acquisition of this KSK Mahanadi, which is a 1.8 gigawatt operational plant with the potential further expansion for which balance of plant for balance 1.8 additional is fully ready.</t>
  </si>
  <si>
    <t>600 megawatt; 40%; 45%</t>
  </si>
  <si>
    <t>We are right now exploring for the fourth unit, we are in discussion for the commissioning of fourth unit of 600 megawatt, work for which is almost 40% to 45% work is already completed.</t>
  </si>
  <si>
    <t>600 megawatt</t>
  </si>
  <si>
    <t>And then we will be looking for balance other 2 units also once we finalize in terms of the project start for this fourth unit of 600 megawatts.</t>
  </si>
  <si>
    <t>3.3 megawatt</t>
  </si>
  <si>
    <t>The new wind capacities we have commissioned are of 2.7 and 3.3 megawatt machines, which we commissioned in the second half of last fiscal, which have seen the current year, full year season they are seeing.</t>
  </si>
  <si>
    <t>4 gigawatt</t>
  </si>
  <si>
    <t>And when you say you're planning to add 3 to 4 gigawatt overall capacity in the year, I assume that excludes at least 1.3, right, of O2.</t>
  </si>
  <si>
    <t>30 gigawatt</t>
  </si>
  <si>
    <t>Sharad Mahendra: And also, as we have announced, if you remember, 30 gigawatt by 2030 in our Strategy 3.0, and we have been maintaining for quite some time that 2/3 of green and 1/3 thermal.</t>
  </si>
  <si>
    <t>21%; 24%</t>
  </si>
  <si>
    <t>Aniket Mittal: So when I look at the plant load factors for solar during the quarter, it's come down to about 21%, I think, versus 24% last year.</t>
  </si>
  <si>
    <t>60%</t>
  </si>
  <si>
    <t>And related to the same capacity, you guided 60% of the contracted capacity is under ₹10.8 lakh per megawatt per month.</t>
  </si>
  <si>
    <t>So as the incremental organic capacity addition happens, because all the incremental pipeline is 100% contracted into long-term PPA.</t>
  </si>
  <si>
    <t>700 megawatt</t>
  </si>
  <si>
    <t>So we'll continue to remain open because the plant is tied up otherwise entire capacity as compared -- when we talk of JSW Utkal, which is 700 megawatt entirely open and again, there also the fuel cost advantage.</t>
  </si>
  <si>
    <t>1.6 gigawatt</t>
  </si>
  <si>
    <t>So basically, can you give us an update on progress regarding execution plan for 1.6 gigawatt Salboni?</t>
  </si>
  <si>
    <t>See, Salboni 1.6 gigawatt, we have already signed the PPA and within the guideline, the land is fully now in place that challenge, which is normally a challenge in a greenfield plant is fully taken care of.</t>
  </si>
  <si>
    <t>29 gigawatt</t>
  </si>
  <si>
    <t>And what has actually been deployed or planned to be deployed for 29 gigawatt hour of storage capacity, which is tied up separately across PSH and BESS?</t>
  </si>
  <si>
    <t>1.34 gigawatt; 4 gigawatt</t>
  </si>
  <si>
    <t>Similarly, as Sharad also reiterated in his opening remarks, over and above O2's opening capacity of 1.34 gigawatt, last quarter in the earnings call, we had guided for a 3 to 4 gigawatt incremental capacity addition during the course of this year.</t>
  </si>
  <si>
    <t>700 MW; 88 MW</t>
  </si>
  <si>
    <t>The remaining untied capacity comprises Utkal 700 MW and KSK 88 MW—both domestic coal-based plants located in coal-rich regions.</t>
  </si>
  <si>
    <t>1.3 GW</t>
  </si>
  <si>
    <t>The addition of 1.3 GW of organic wind capacity in the second half of FY 2025, coupled with the strategic acquisitions of O2 Power and the Mahanadi thermal plant, has begun contributing meaningfully to our earnings.</t>
  </si>
  <si>
    <t>76%</t>
  </si>
  <si>
    <t>Our thermal portfolio continued to perform well, achieving a healthy Plant Load Factor of 76% during the quarter.</t>
  </si>
  <si>
    <t>1.8 GW; 4.7 GW; 14,000 crore</t>
  </si>
  <si>
    <t>As of now, O2 Power has an installed capacity of 1.8 GW, which is expected to scale up to 4.7 GW by June 2027 through a planned capital expenditure of ₹13,000 to ₹14,000 crore.</t>
  </si>
  <si>
    <t>2.7 billion units; 20%</t>
  </si>
  <si>
    <t>The Mahanadi Thermal Plant, acquired in March 2025, operated for the full quarter and generated 2.7 billion units, accounting for 20% of the company’s total generation.</t>
  </si>
  <si>
    <t>867 crore; 28%</t>
  </si>
  <si>
    <t>The plant delivered a robust EBITDA of ₹867 crore, contributing 28% to the total consolidated EBITDA, underscoring the strategic value of the acquisition.</t>
  </si>
  <si>
    <t>92%; 1.4 billion units</t>
  </si>
  <si>
    <t>As part of this transition, we have successfully tied up our imported coal-based Vijayanagar plant with JSW Steel, resulting in a 92% year-on-year increase in generation to 1.4 billion units.</t>
  </si>
  <si>
    <t>50%; 243 GW</t>
  </si>
  <si>
    <t>India reaches 50% clean energy capacity, achieving its Paris Agreement NDC target five years ahead of schedule with a Non fossil fuel capacity of 243 GW.</t>
  </si>
  <si>
    <t>20 MW</t>
  </si>
  <si>
    <t>I also want to highlight that we are currently constructing a 20 MW floating solar plant at Vijayanagar, marking our first venture into floating solar technology.</t>
  </si>
  <si>
    <t>165 crore</t>
  </si>
  <si>
    <t>We envisage initial capital outlay of ₹ 165 crore for the project.</t>
  </si>
  <si>
    <t>1.9 GW; 4 GW</t>
  </si>
  <si>
    <t>With 1.9 GW of capacity already added in Q1 FY26, we are well-positioned to achieve our target of 3 to 4 GW of capacity addition during the current fiscal year.</t>
  </si>
  <si>
    <t>2,400 crore</t>
  </si>
  <si>
    <t>In the first quarter, the actual capex spend in cash terms is about ₹2,400 crores for the quarter.</t>
  </si>
  <si>
    <t>15,000 crore; 18,000 crore</t>
  </si>
  <si>
    <t>If you recall, we have guided for a full year capex of ₹15,000 crores to ₹18,000 crores.</t>
  </si>
  <si>
    <t>We are currently establishing a battery assembly plant in Pune with a rated capacity of 5 GWh per annum, dedicated to supporting Battery Energy Storage Systems.</t>
  </si>
  <si>
    <t>Q4FY25</t>
  </si>
  <si>
    <t>1.9 gigawatt; 300 megawatt</t>
  </si>
  <si>
    <t>And the balance work, which is in progress, so by quarter end we are expecting close to 1.9 gigawatt operational capacity and about 300 megawatt of solar which is spilling over in Quarter 2.</t>
  </si>
  <si>
    <t>8 gigawatt</t>
  </si>
  <si>
    <t>But we have gone ahead and secured a pipeline of barely 7 to 8 gigawatt, right?</t>
  </si>
  <si>
    <t>2.2 gigawatt</t>
  </si>
  <si>
    <t>So O2 in the press release I understand that we expect that by June 25 around 2.2 gigawatt of capacities expected to be operational.</t>
  </si>
  <si>
    <t>And balance just if you can share, if still 2.2 gigawatt would also be solar or we will plan wind energy?</t>
  </si>
  <si>
    <t>1.9 gigawatt</t>
  </si>
  <si>
    <t>And sir can you just give us a timeline as to what will be the commissioning trend for the rest of the 1.9 gigawatt hours of project?</t>
  </si>
</sst>
</file>

<file path=xl/styles.xml><?xml version="1.0" encoding="utf-8"?>
<styleSheet xmlns="http://schemas.openxmlformats.org/spreadsheetml/2006/main">
  <numFmts count="7">
    <numFmt numFmtId="164" formatCode="#,##0"/>
    <numFmt numFmtId="165" formatCode="#,##0;(#,##0)"/>
    <numFmt numFmtId="166" formatCode="0.0%"/>
    <numFmt numFmtId="167" formatCode="0.000"/>
    <numFmt numFmtId="168" formatCode="0.0x"/>
    <numFmt numFmtId="169" formatCode="0.00"/>
    <numFmt numFmtId="170" formatCode="0.00;-0.00;&quot;OK&quot;"/>
  </numFmts>
  <fonts count="8">
    <font>
      <sz val="11"/>
      <color theme="1"/>
      <name val="Calibri"/>
      <family val="2"/>
      <scheme val="minor"/>
    </font>
    <font>
      <b/>
      <sz val="13"/>
      <color theme="1"/>
      <name val="Arial"/>
      <family val="2"/>
    </font>
    <font>
      <sz val="9"/>
      <color theme="1"/>
      <name val="Arial"/>
      <family val="2"/>
    </font>
    <font>
      <b/>
      <sz val="9"/>
      <color theme="1"/>
      <name val="Arial"/>
      <family val="2"/>
    </font>
    <font>
      <b/>
      <sz val="12"/>
      <color theme="1"/>
      <name val="Arial"/>
      <family val="2"/>
    </font>
    <font>
      <i/>
      <sz val="9"/>
      <color rgb="FF666666"/>
      <name val="Arial"/>
      <family val="2"/>
    </font>
    <font>
      <sz val="9"/>
      <color rgb="FF1F4E9E"/>
      <name val="Arial"/>
      <family val="2"/>
    </font>
    <font>
      <sz val="9"/>
      <color rgb="FF2E7D32"/>
      <name val="Arial"/>
      <family val="2"/>
    </font>
  </fonts>
  <fills count="3">
    <fill>
      <patternFill patternType="none"/>
    </fill>
    <fill>
      <patternFill patternType="gray125"/>
    </fill>
    <fill>
      <patternFill patternType="solid">
        <fgColor rgb="FFE8EEF4"/>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1" xfId="0" applyFont="1" applyBorder="1"/>
    <xf numFmtId="164" fontId="4" fillId="0" borderId="0" xfId="0" applyNumberFormat="1" applyFont="1"/>
    <xf numFmtId="165" fontId="2" fillId="0" borderId="0" xfId="0" applyNumberFormat="1" applyFont="1"/>
    <xf numFmtId="166" fontId="2" fillId="0" borderId="0" xfId="0" applyNumberFormat="1" applyFont="1"/>
    <xf numFmtId="0" fontId="5" fillId="0" borderId="0" xfId="0" applyFont="1"/>
    <xf numFmtId="166" fontId="6" fillId="0" borderId="0" xfId="0" applyNumberFormat="1" applyFont="1"/>
    <xf numFmtId="167" fontId="6" fillId="0" borderId="0" xfId="0" applyNumberFormat="1" applyFont="1"/>
    <xf numFmtId="164" fontId="6" fillId="0" borderId="0" xfId="0" applyNumberFormat="1" applyFont="1"/>
    <xf numFmtId="168" fontId="2" fillId="0" borderId="0" xfId="0" applyNumberFormat="1" applyFont="1"/>
    <xf numFmtId="0" fontId="3" fillId="2" borderId="0" xfId="0" applyFont="1" applyFill="1"/>
    <xf numFmtId="169" fontId="2" fillId="0" borderId="0" xfId="0" applyNumberFormat="1" applyFont="1"/>
    <xf numFmtId="165" fontId="3" fillId="0" borderId="2" xfId="0" applyNumberFormat="1" applyFont="1" applyBorder="1"/>
    <xf numFmtId="170" fontId="7"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showGridLines="0" tabSelected="1" workbookViewId="0"/>
  </sheetViews>
  <sheetFormatPr defaultRowHeight="15"/>
  <cols>
    <col min="1" max="1" width="30.7109375" customWidth="1"/>
    <col min="2" max="2" width="16.7109375" customWidth="1"/>
  </cols>
  <sheetData>
    <row r="1" spans="1:2">
      <c r="A1" s="1" t="s">
        <v>134</v>
      </c>
    </row>
    <row r="3" spans="1:2">
      <c r="A3" s="2" t="s">
        <v>132</v>
      </c>
      <c r="B3" s="3">
        <f>DCF!$C$40</f>
        <v>0</v>
      </c>
    </row>
    <row r="4" spans="1:2">
      <c r="A4" s="2" t="s">
        <v>130</v>
      </c>
      <c r="B4" s="4">
        <f>DCF!$C$38</f>
        <v>0</v>
      </c>
    </row>
    <row r="5" spans="1:2">
      <c r="A5" s="2" t="s">
        <v>135</v>
      </c>
      <c r="B5" s="5">
        <f>Inputs!$C$14</f>
        <v>0</v>
      </c>
    </row>
    <row r="6" spans="1:2">
      <c r="A6" s="2" t="s">
        <v>136</v>
      </c>
      <c r="B6" s="6">
        <f>DCF!$C$39</f>
        <v>0</v>
      </c>
    </row>
    <row r="7" spans="1:2">
      <c r="A7" s="2" t="s">
        <v>137</v>
      </c>
      <c r="B7" s="5">
        <f>DCF!$C$34</f>
        <v>0</v>
      </c>
    </row>
    <row r="8" spans="1:2">
      <c r="A8" s="2" t="s">
        <v>138</v>
      </c>
      <c r="B8" s="5">
        <f>DCF!$C$37</f>
        <v>0</v>
      </c>
    </row>
    <row r="9" spans="1:2">
      <c r="A9" s="2" t="s">
        <v>108</v>
      </c>
      <c r="B9" s="6">
        <f>DCF!$C$11</f>
        <v>0</v>
      </c>
    </row>
    <row r="11" spans="1:2">
      <c r="A11" s="7" t="s">
        <v>139</v>
      </c>
    </row>
    <row r="12" spans="1:2">
      <c r="A12" s="7"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0"/>
  <sheetViews>
    <sheetView showGridLines="0" workbookViewId="0"/>
  </sheetViews>
  <sheetFormatPr defaultRowHeight="15"/>
  <cols>
    <col min="1" max="1" width="34.7109375" customWidth="1"/>
    <col min="2" max="2" width="8.7109375" customWidth="1"/>
    <col min="3" max="3" width="14.7109375" customWidth="1"/>
    <col min="4" max="4" width="70.7109375" customWidth="1"/>
    <col min="5" max="17" width="11.7109375" customWidth="1"/>
  </cols>
  <sheetData>
    <row r="1" spans="1:4">
      <c r="A1" s="1" t="s">
        <v>0</v>
      </c>
    </row>
    <row r="3" spans="1:4">
      <c r="A3" s="3" t="s">
        <v>1</v>
      </c>
      <c r="B3" s="3"/>
      <c r="C3" s="3" t="s">
        <v>2</v>
      </c>
      <c r="D3" s="3" t="s">
        <v>3</v>
      </c>
    </row>
    <row r="4" spans="1:4">
      <c r="A4" s="2" t="s">
        <v>4</v>
      </c>
      <c r="C4" s="8">
        <v>0.0711</v>
      </c>
      <c r="D4" s="7" t="s">
        <v>5</v>
      </c>
    </row>
    <row r="5" spans="1:4">
      <c r="A5" s="2" t="s">
        <v>6</v>
      </c>
      <c r="C5" s="8">
        <v>0.0187</v>
      </c>
      <c r="D5" s="7" t="s">
        <v>7</v>
      </c>
    </row>
    <row r="6" spans="1:4">
      <c r="A6" s="2" t="s">
        <v>8</v>
      </c>
      <c r="C6" s="8">
        <v>0.0708</v>
      </c>
      <c r="D6" s="7" t="s">
        <v>9</v>
      </c>
    </row>
    <row r="7" spans="1:4">
      <c r="A7" s="2" t="s">
        <v>10</v>
      </c>
      <c r="C7" s="8">
        <v>0.25</v>
      </c>
      <c r="D7" s="7" t="s">
        <v>11</v>
      </c>
    </row>
    <row r="8" spans="1:4">
      <c r="A8" s="2" t="s">
        <v>12</v>
      </c>
      <c r="C8" s="9">
        <v>0.51</v>
      </c>
      <c r="D8" s="7" t="s">
        <v>13</v>
      </c>
    </row>
    <row r="9" spans="1:4">
      <c r="A9" s="2" t="s">
        <v>14</v>
      </c>
      <c r="C9" s="8">
        <v>0.5</v>
      </c>
      <c r="D9" s="7" t="s">
        <v>15</v>
      </c>
    </row>
    <row r="10" spans="1:4">
      <c r="A10" s="2" t="s">
        <v>16</v>
      </c>
      <c r="C10" s="9">
        <v>0.805</v>
      </c>
      <c r="D10" s="7" t="s">
        <v>17</v>
      </c>
    </row>
    <row r="11" spans="1:4">
      <c r="A11" s="2" t="s">
        <v>18</v>
      </c>
      <c r="C11" s="8">
        <v>0.08359999999999999</v>
      </c>
      <c r="D11" s="7" t="s">
        <v>19</v>
      </c>
    </row>
    <row r="12" spans="1:4">
      <c r="A12" s="2" t="s">
        <v>20</v>
      </c>
      <c r="C12" s="8">
        <v>0.05</v>
      </c>
      <c r="D12" s="7" t="s">
        <v>21</v>
      </c>
    </row>
    <row r="13" spans="1:4">
      <c r="A13" s="2" t="s">
        <v>22</v>
      </c>
      <c r="C13" s="8">
        <v>0.115</v>
      </c>
      <c r="D13" s="7" t="s">
        <v>23</v>
      </c>
    </row>
    <row r="14" spans="1:4">
      <c r="A14" s="2" t="s">
        <v>24</v>
      </c>
      <c r="C14" s="10">
        <v>506.55</v>
      </c>
      <c r="D14" s="7" t="s">
        <v>25</v>
      </c>
    </row>
    <row r="15" spans="1:4">
      <c r="A15" s="2" t="s">
        <v>26</v>
      </c>
      <c r="C15" s="9">
        <v>183.2372944</v>
      </c>
      <c r="D15" s="7" t="s">
        <v>27</v>
      </c>
    </row>
    <row r="16" spans="1:4">
      <c r="A16" s="2" t="s">
        <v>28</v>
      </c>
      <c r="C16" s="10">
        <v>8109.01</v>
      </c>
      <c r="D16" s="7" t="s">
        <v>29</v>
      </c>
    </row>
    <row r="17" spans="1:4">
      <c r="A17" s="2" t="s">
        <v>30</v>
      </c>
      <c r="C17" s="10">
        <v>2825.85</v>
      </c>
      <c r="D17" s="7" t="s">
        <v>29</v>
      </c>
    </row>
    <row r="18" spans="1:4">
      <c r="A18" s="2" t="s">
        <v>31</v>
      </c>
      <c r="C18" s="11">
        <v>18.60722815714706</v>
      </c>
      <c r="D18" s="7" t="s">
        <v>32</v>
      </c>
    </row>
    <row r="19" spans="1:4">
      <c r="A19" s="2" t="s">
        <v>33</v>
      </c>
      <c r="C19" s="8">
        <v>0.9</v>
      </c>
      <c r="D19" s="7" t="s">
        <v>34</v>
      </c>
    </row>
    <row r="20" spans="1:4">
      <c r="A20" s="2" t="s">
        <v>35</v>
      </c>
      <c r="C20" s="8">
        <v>0.15</v>
      </c>
      <c r="D20" s="7" t="s">
        <v>36</v>
      </c>
    </row>
    <row r="21" spans="1:4">
      <c r="A21" s="2" t="s">
        <v>37</v>
      </c>
      <c r="C21" s="8">
        <v>0.01</v>
      </c>
      <c r="D21" s="7"/>
    </row>
    <row r="22" spans="1:4">
      <c r="A22" s="2" t="s">
        <v>38</v>
      </c>
      <c r="C22" s="8">
        <v>0.05</v>
      </c>
      <c r="D22" s="7"/>
    </row>
    <row r="23" spans="1:4">
      <c r="A23" s="2" t="s">
        <v>39</v>
      </c>
      <c r="C23" s="8">
        <v>0.06</v>
      </c>
      <c r="D23" s="7"/>
    </row>
    <row r="24" spans="1:4">
      <c r="A24" s="2" t="s">
        <v>40</v>
      </c>
      <c r="C24" s="8">
        <v>0.55</v>
      </c>
      <c r="D24" s="7"/>
    </row>
    <row r="25" spans="1:4">
      <c r="A25" s="2" t="s">
        <v>41</v>
      </c>
      <c r="C25" s="8">
        <v>0.65</v>
      </c>
      <c r="D25" s="7"/>
    </row>
    <row r="26" spans="1:4">
      <c r="A26" s="2" t="s">
        <v>42</v>
      </c>
      <c r="C26" s="8">
        <v>0.08400000000000001</v>
      </c>
      <c r="D26" s="7"/>
    </row>
    <row r="27" spans="1:4">
      <c r="A27" s="2" t="s">
        <v>43</v>
      </c>
      <c r="C27" s="8">
        <v>0.16</v>
      </c>
      <c r="D27" s="7" t="s">
        <v>44</v>
      </c>
    </row>
    <row r="28" spans="1:4">
      <c r="A28" s="2" t="s">
        <v>45</v>
      </c>
      <c r="C28" s="8">
        <v>1</v>
      </c>
      <c r="D28" s="7"/>
    </row>
    <row r="29" spans="1:4">
      <c r="A29" s="2" t="s">
        <v>46</v>
      </c>
      <c r="C29" s="8">
        <v>0.85</v>
      </c>
      <c r="D29" s="7"/>
    </row>
    <row r="30" spans="1:4">
      <c r="A30" s="2" t="s">
        <v>47</v>
      </c>
      <c r="C30" s="8">
        <v>0.05</v>
      </c>
      <c r="D3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1"/>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34.7109375" customWidth="1"/>
    <col min="2" max="2" width="8.7109375" customWidth="1"/>
    <col min="3" max="17" width="11.7109375" customWidth="1"/>
  </cols>
  <sheetData>
    <row r="1" spans="1:14">
      <c r="A1" s="1" t="s">
        <v>48</v>
      </c>
    </row>
    <row r="3" spans="1:14">
      <c r="A3" s="3"/>
      <c r="B3" s="3"/>
      <c r="C3" s="3" t="s">
        <v>49</v>
      </c>
      <c r="D3" s="3" t="s">
        <v>50</v>
      </c>
      <c r="E3" s="3" t="s">
        <v>51</v>
      </c>
      <c r="F3" s="3" t="s">
        <v>52</v>
      </c>
      <c r="G3" s="3" t="s">
        <v>53</v>
      </c>
      <c r="H3" s="3" t="s">
        <v>54</v>
      </c>
      <c r="I3" s="3" t="s">
        <v>55</v>
      </c>
      <c r="J3" s="3" t="s">
        <v>56</v>
      </c>
      <c r="K3" s="3" t="s">
        <v>57</v>
      </c>
      <c r="L3" s="3" t="s">
        <v>58</v>
      </c>
      <c r="M3" s="3" t="s">
        <v>59</v>
      </c>
      <c r="N3" s="3" t="s">
        <v>60</v>
      </c>
    </row>
    <row r="4" spans="1:14">
      <c r="A4" s="12" t="s">
        <v>61</v>
      </c>
      <c r="B4" s="12"/>
      <c r="C4" s="12"/>
      <c r="D4" s="12"/>
      <c r="E4" s="12"/>
      <c r="F4" s="12"/>
      <c r="G4" s="12"/>
      <c r="H4" s="12"/>
      <c r="I4" s="12"/>
      <c r="J4" s="12"/>
      <c r="K4" s="12"/>
      <c r="L4" s="12"/>
      <c r="M4" s="12"/>
      <c r="N4" s="12"/>
    </row>
    <row r="5" spans="1:14">
      <c r="A5" s="2" t="s">
        <v>67</v>
      </c>
      <c r="H5" s="10">
        <v>20000</v>
      </c>
      <c r="I5" s="10">
        <v>22000</v>
      </c>
      <c r="J5" s="10">
        <v>22000</v>
      </c>
      <c r="K5" s="10">
        <v>22000</v>
      </c>
      <c r="L5" s="10">
        <v>15000</v>
      </c>
      <c r="M5" s="10">
        <v>15000</v>
      </c>
      <c r="N5" s="10">
        <v>15000</v>
      </c>
    </row>
    <row r="6" spans="1:14">
      <c r="A6" s="2" t="s">
        <v>68</v>
      </c>
      <c r="C6" s="6">
        <f>C9/C8</f>
        <v>0</v>
      </c>
      <c r="D6" s="6">
        <f>D9/D8</f>
        <v>0</v>
      </c>
      <c r="E6" s="6">
        <f>E9/E8</f>
        <v>0</v>
      </c>
      <c r="F6" s="6">
        <f>F9/F8</f>
        <v>0</v>
      </c>
      <c r="G6" s="6">
        <f>G9/G8</f>
        <v>0</v>
      </c>
      <c r="H6" s="8">
        <v>0.5</v>
      </c>
      <c r="I6" s="8">
        <v>0.505</v>
      </c>
      <c r="J6" s="8">
        <v>0.51</v>
      </c>
      <c r="K6" s="8">
        <v>0.515</v>
      </c>
      <c r="L6" s="8">
        <v>0.515</v>
      </c>
      <c r="M6" s="8">
        <v>0.515</v>
      </c>
      <c r="N6" s="8">
        <v>0.515</v>
      </c>
    </row>
    <row r="7" spans="1:14">
      <c r="A7" s="12" t="s">
        <v>62</v>
      </c>
      <c r="B7" s="12"/>
      <c r="C7" s="12"/>
      <c r="D7" s="12"/>
      <c r="E7" s="12"/>
      <c r="F7" s="12"/>
      <c r="G7" s="12"/>
      <c r="H7" s="12"/>
      <c r="I7" s="12"/>
      <c r="J7" s="12"/>
      <c r="K7" s="12"/>
      <c r="L7" s="12"/>
      <c r="M7" s="12"/>
      <c r="N7" s="12"/>
    </row>
    <row r="8" spans="1:14">
      <c r="A8" s="2" t="s">
        <v>69</v>
      </c>
      <c r="C8" s="5">
        <v>8167</v>
      </c>
      <c r="D8" s="5">
        <v>10332</v>
      </c>
      <c r="E8" s="5">
        <v>11486</v>
      </c>
      <c r="F8" s="5">
        <v>11745</v>
      </c>
      <c r="G8" s="5">
        <v>18901</v>
      </c>
      <c r="H8" s="5">
        <f>H9/H6</f>
        <v>0</v>
      </c>
      <c r="I8" s="5">
        <f>I9/I6</f>
        <v>0</v>
      </c>
      <c r="J8" s="5">
        <f>J9/J6</f>
        <v>0</v>
      </c>
      <c r="K8" s="5">
        <f>K9/K6</f>
        <v>0</v>
      </c>
      <c r="L8" s="5">
        <f>L9/L6</f>
        <v>0</v>
      </c>
      <c r="M8" s="5">
        <f>M9/M6</f>
        <v>0</v>
      </c>
      <c r="N8" s="5">
        <f>N9/N6</f>
        <v>0</v>
      </c>
    </row>
    <row r="9" spans="1:14">
      <c r="A9" s="2" t="s">
        <v>70</v>
      </c>
      <c r="C9" s="5">
        <v>3572</v>
      </c>
      <c r="D9" s="5">
        <v>3282</v>
      </c>
      <c r="E9" s="5">
        <v>5382</v>
      </c>
      <c r="F9" s="5">
        <v>5221</v>
      </c>
      <c r="G9" s="5">
        <v>10068</v>
      </c>
      <c r="H9" s="5">
        <f>G9*(1+Inputs!$C$21)+Inputs!$C$20*0.5*(G33+H33)</f>
        <v>0</v>
      </c>
      <c r="I9" s="5">
        <f>H9*(1+Inputs!$C$21)+Inputs!$C$20*0.5*(H33+I33)</f>
        <v>0</v>
      </c>
      <c r="J9" s="5">
        <f>I9*(1+Inputs!$C$21)+Inputs!$C$20*0.5*(I33+J33)</f>
        <v>0</v>
      </c>
      <c r="K9" s="5">
        <f>J9*(1+Inputs!$C$21)+Inputs!$C$20*0.5*(J33+K33)</f>
        <v>0</v>
      </c>
      <c r="L9" s="5">
        <f>K9*(1+Inputs!$C$21)+Inputs!$C$20*0.5*(K33+L33)</f>
        <v>0</v>
      </c>
      <c r="M9" s="5">
        <f>L9*(1+Inputs!$C$21)+Inputs!$C$20*0.5*(L33+M33)</f>
        <v>0</v>
      </c>
      <c r="N9" s="5">
        <f>M9*(1+Inputs!$C$21)+Inputs!$C$20*0.5*(M33+N33)</f>
        <v>0</v>
      </c>
    </row>
    <row r="10" spans="1:14">
      <c r="A10" s="2" t="s">
        <v>71</v>
      </c>
      <c r="C10" s="5">
        <v>575</v>
      </c>
      <c r="D10" s="5">
        <v>674</v>
      </c>
      <c r="E10" s="5">
        <v>472</v>
      </c>
      <c r="F10" s="5">
        <v>916</v>
      </c>
      <c r="G10" s="5">
        <v>920</v>
      </c>
      <c r="H10" s="5">
        <f>H8*Inputs!$C$22</f>
        <v>0</v>
      </c>
      <c r="I10" s="5">
        <f>I8*Inputs!$C$22</f>
        <v>0</v>
      </c>
      <c r="J10" s="5">
        <f>J8*Inputs!$C$22</f>
        <v>0</v>
      </c>
      <c r="K10" s="5">
        <f>K8*Inputs!$C$22</f>
        <v>0</v>
      </c>
      <c r="L10" s="5">
        <f>L8*Inputs!$C$22</f>
        <v>0</v>
      </c>
      <c r="M10" s="5">
        <f>M8*Inputs!$C$22</f>
        <v>0</v>
      </c>
      <c r="N10" s="5">
        <f>N8*Inputs!$C$22</f>
        <v>0</v>
      </c>
    </row>
    <row r="11" spans="1:14">
      <c r="A11" s="2" t="s">
        <v>72</v>
      </c>
      <c r="C11" s="5">
        <v>1131</v>
      </c>
      <c r="D11" s="5">
        <v>1169</v>
      </c>
      <c r="E11" s="5">
        <v>1633</v>
      </c>
      <c r="F11" s="5">
        <v>1655</v>
      </c>
      <c r="G11" s="5">
        <v>3185</v>
      </c>
      <c r="H11" s="5">
        <f>G19*Inputs!$C$23</f>
        <v>0</v>
      </c>
      <c r="I11" s="5">
        <f>H19*Inputs!$C$23</f>
        <v>0</v>
      </c>
      <c r="J11" s="5">
        <f>I19*Inputs!$C$23</f>
        <v>0</v>
      </c>
      <c r="K11" s="5">
        <f>J19*Inputs!$C$23</f>
        <v>0</v>
      </c>
      <c r="L11" s="5">
        <f>K19*Inputs!$C$23</f>
        <v>0</v>
      </c>
      <c r="M11" s="5">
        <f>L19*Inputs!$C$23</f>
        <v>0</v>
      </c>
      <c r="N11" s="5">
        <f>M19*Inputs!$C$23</f>
        <v>0</v>
      </c>
    </row>
    <row r="12" spans="1:14">
      <c r="A12" s="2" t="s">
        <v>73</v>
      </c>
      <c r="C12" s="5">
        <v>777</v>
      </c>
      <c r="D12" s="5">
        <v>844</v>
      </c>
      <c r="E12" s="5">
        <v>2053</v>
      </c>
      <c r="F12" s="5">
        <v>2269</v>
      </c>
      <c r="G12" s="5">
        <v>5816</v>
      </c>
      <c r="H12" s="5">
        <f>(G27+H27)/2*Inputs!$C$26</f>
        <v>0</v>
      </c>
      <c r="I12" s="5">
        <f>(H27+I27)/2*Inputs!$C$26</f>
        <v>0</v>
      </c>
      <c r="J12" s="5">
        <f>(I27+J27)/2*Inputs!$C$26</f>
        <v>0</v>
      </c>
      <c r="K12" s="5">
        <f>(J27+K27)/2*Inputs!$C$26</f>
        <v>0</v>
      </c>
      <c r="L12" s="5">
        <f>(K27+L27)/2*Inputs!$C$26</f>
        <v>0</v>
      </c>
      <c r="M12" s="5">
        <f>(L27+M27)/2*Inputs!$C$26</f>
        <v>0</v>
      </c>
      <c r="N12" s="5">
        <f>(M27+N27)/2*Inputs!$C$26</f>
        <v>0</v>
      </c>
    </row>
    <row r="13" spans="1:14">
      <c r="A13" s="2" t="s">
        <v>74</v>
      </c>
      <c r="C13" s="5">
        <v>2238</v>
      </c>
      <c r="D13" s="5">
        <v>1943</v>
      </c>
      <c r="E13" s="5">
        <v>2167</v>
      </c>
      <c r="F13" s="5">
        <v>2214</v>
      </c>
      <c r="G13" s="5">
        <v>1986</v>
      </c>
      <c r="H13" s="5">
        <f>H9+H10-H11-H12</f>
        <v>0</v>
      </c>
      <c r="I13" s="5">
        <f>I9+I10-I11-I12</f>
        <v>0</v>
      </c>
      <c r="J13" s="5">
        <f>J9+J10-J11-J12</f>
        <v>0</v>
      </c>
      <c r="K13" s="5">
        <f>K9+K10-K11-K12</f>
        <v>0</v>
      </c>
      <c r="L13" s="5">
        <f>L9+L10-L11-L12</f>
        <v>0</v>
      </c>
      <c r="M13" s="5">
        <f>M9+M10-M11-M12</f>
        <v>0</v>
      </c>
      <c r="N13" s="5">
        <f>N9+N10-N11-N12</f>
        <v>0</v>
      </c>
    </row>
    <row r="14" spans="1:14">
      <c r="A14" s="2" t="s">
        <v>75</v>
      </c>
      <c r="C14" s="5">
        <v>495</v>
      </c>
      <c r="D14" s="5">
        <v>463</v>
      </c>
      <c r="E14" s="5">
        <v>442</v>
      </c>
      <c r="F14" s="5">
        <v>231</v>
      </c>
      <c r="G14" s="5">
        <v>-776</v>
      </c>
      <c r="H14" s="5">
        <f>MAX(H13,0)*Inputs!$C$7</f>
        <v>0</v>
      </c>
      <c r="I14" s="5">
        <f>MAX(I13,0)*Inputs!$C$7</f>
        <v>0</v>
      </c>
      <c r="J14" s="5">
        <f>MAX(J13,0)*Inputs!$C$7</f>
        <v>0</v>
      </c>
      <c r="K14" s="5">
        <f>MAX(K13,0)*Inputs!$C$7</f>
        <v>0</v>
      </c>
      <c r="L14" s="5">
        <f>MAX(L13,0)*Inputs!$C$7</f>
        <v>0</v>
      </c>
      <c r="M14" s="5">
        <f>MAX(M13,0)*Inputs!$C$7</f>
        <v>0</v>
      </c>
      <c r="N14" s="5">
        <f>MAX(N13,0)*Inputs!$C$7</f>
        <v>0</v>
      </c>
    </row>
    <row r="15" spans="1:14">
      <c r="A15" s="2" t="s">
        <v>76</v>
      </c>
      <c r="C15" s="5">
        <v>1743</v>
      </c>
      <c r="D15" s="5">
        <v>1480</v>
      </c>
      <c r="E15" s="5">
        <v>1725</v>
      </c>
      <c r="F15" s="5">
        <v>1983</v>
      </c>
      <c r="G15" s="5">
        <v>2762</v>
      </c>
      <c r="H15" s="5">
        <f>H13-H14</f>
        <v>0</v>
      </c>
      <c r="I15" s="5">
        <f>I13-I14</f>
        <v>0</v>
      </c>
      <c r="J15" s="5">
        <f>J13-J14</f>
        <v>0</v>
      </c>
      <c r="K15" s="5">
        <f>K13-K14</f>
        <v>0</v>
      </c>
      <c r="L15" s="5">
        <f>L13-L14</f>
        <v>0</v>
      </c>
      <c r="M15" s="5">
        <f>M13-M14</f>
        <v>0</v>
      </c>
      <c r="N15" s="5">
        <f>N13-N14</f>
        <v>0</v>
      </c>
    </row>
    <row r="16" spans="1:14">
      <c r="A16" s="2" t="s">
        <v>77</v>
      </c>
      <c r="C16" s="13">
        <f>C15/Inputs!$C$15</f>
        <v>0</v>
      </c>
      <c r="D16" s="13">
        <f>D15/Inputs!$C$15</f>
        <v>0</v>
      </c>
      <c r="E16" s="13">
        <f>E15/Inputs!$C$15</f>
        <v>0</v>
      </c>
      <c r="F16" s="13">
        <f>F15/Inputs!$C$15</f>
        <v>0</v>
      </c>
      <c r="G16" s="13">
        <f>G15/Inputs!$C$15</f>
        <v>0</v>
      </c>
      <c r="H16" s="13">
        <f>H15/Inputs!$C$15</f>
        <v>0</v>
      </c>
      <c r="I16" s="13">
        <f>I15/Inputs!$C$15</f>
        <v>0</v>
      </c>
      <c r="J16" s="13">
        <f>J15/Inputs!$C$15</f>
        <v>0</v>
      </c>
      <c r="K16" s="13">
        <f>K15/Inputs!$C$15</f>
        <v>0</v>
      </c>
      <c r="L16" s="13">
        <f>L15/Inputs!$C$15</f>
        <v>0</v>
      </c>
      <c r="M16" s="13">
        <f>M15/Inputs!$C$15</f>
        <v>0</v>
      </c>
      <c r="N16" s="13">
        <f>N15/Inputs!$C$15</f>
        <v>0</v>
      </c>
    </row>
    <row r="17" spans="1:14">
      <c r="A17" s="2" t="s">
        <v>78</v>
      </c>
      <c r="H17" s="5">
        <f>MAX(H15,0)*Inputs!$C$27</f>
        <v>0</v>
      </c>
      <c r="I17" s="5">
        <f>MAX(I15,0)*Inputs!$C$27</f>
        <v>0</v>
      </c>
      <c r="J17" s="5">
        <f>MAX(J15,0)*Inputs!$C$27</f>
        <v>0</v>
      </c>
      <c r="K17" s="5">
        <f>MAX(K15,0)*Inputs!$C$27</f>
        <v>0</v>
      </c>
      <c r="L17" s="5">
        <f>MAX(L15,0)*Inputs!$C$27</f>
        <v>0</v>
      </c>
      <c r="M17" s="5">
        <f>MAX(M15,0)*Inputs!$C$27</f>
        <v>0</v>
      </c>
      <c r="N17" s="5">
        <f>MAX(N15,0)*Inputs!$C$27</f>
        <v>0</v>
      </c>
    </row>
    <row r="18" spans="1:14">
      <c r="A18" s="12" t="s">
        <v>63</v>
      </c>
      <c r="B18" s="12"/>
      <c r="C18" s="12"/>
      <c r="D18" s="12"/>
      <c r="E18" s="12"/>
      <c r="F18" s="12"/>
      <c r="G18" s="12"/>
      <c r="H18" s="12"/>
      <c r="I18" s="12"/>
      <c r="J18" s="12"/>
      <c r="K18" s="12"/>
      <c r="L18" s="12"/>
      <c r="M18" s="12"/>
      <c r="N18" s="12"/>
    </row>
    <row r="19" spans="1:14">
      <c r="A19" s="2" t="s">
        <v>79</v>
      </c>
      <c r="C19" s="5">
        <v>14831</v>
      </c>
      <c r="D19" s="5">
        <v>25020</v>
      </c>
      <c r="E19" s="5">
        <v>28946</v>
      </c>
      <c r="F19" s="5">
        <v>54155</v>
      </c>
      <c r="G19" s="5">
        <v>74523</v>
      </c>
      <c r="H19" s="5">
        <f>G19+H33-H11</f>
        <v>0</v>
      </c>
      <c r="I19" s="5">
        <f>H19+I33-I11</f>
        <v>0</v>
      </c>
      <c r="J19" s="5">
        <f>I19+J33-J11</f>
        <v>0</v>
      </c>
      <c r="K19" s="5">
        <f>J19+K33-K11</f>
        <v>0</v>
      </c>
      <c r="L19" s="5">
        <f>K19+L33-L11</f>
        <v>0</v>
      </c>
      <c r="M19" s="5">
        <f>L19+M33-M11</f>
        <v>0</v>
      </c>
      <c r="N19" s="5">
        <f>M19+N33-N11</f>
        <v>0</v>
      </c>
    </row>
    <row r="20" spans="1:14">
      <c r="A20" s="2" t="s">
        <v>80</v>
      </c>
      <c r="C20" s="5">
        <v>2091</v>
      </c>
      <c r="D20" s="5">
        <v>4788</v>
      </c>
      <c r="E20" s="5">
        <v>10285</v>
      </c>
      <c r="F20" s="5">
        <v>10281</v>
      </c>
      <c r="G20" s="5">
        <v>17465</v>
      </c>
      <c r="H20" s="5">
        <f>G20+H32-H33</f>
        <v>0</v>
      </c>
      <c r="I20" s="5">
        <f>H20+I32-I33</f>
        <v>0</v>
      </c>
      <c r="J20" s="5">
        <f>I20+J32-J33</f>
        <v>0</v>
      </c>
      <c r="K20" s="5">
        <f>J20+K32-K33</f>
        <v>0</v>
      </c>
      <c r="L20" s="5">
        <f>K20+L32-L33</f>
        <v>0</v>
      </c>
      <c r="M20" s="5">
        <f>L20+M32-M33</f>
        <v>0</v>
      </c>
      <c r="N20" s="5">
        <f>M20+N32-N33</f>
        <v>0</v>
      </c>
    </row>
    <row r="21" spans="1:14">
      <c r="A21" s="2" t="s">
        <v>81</v>
      </c>
      <c r="C21" s="5">
        <v>6623</v>
      </c>
      <c r="D21" s="5">
        <v>6033</v>
      </c>
      <c r="E21" s="5">
        <v>7035</v>
      </c>
      <c r="F21" s="5">
        <v>9755</v>
      </c>
      <c r="G21" s="5">
        <v>11379</v>
      </c>
      <c r="H21" s="5">
        <f>G21*(1+Inputs!$C$30)</f>
        <v>0</v>
      </c>
      <c r="I21" s="5">
        <f>H21*(1+Inputs!$C$30)</f>
        <v>0</v>
      </c>
      <c r="J21" s="5">
        <f>I21*(1+Inputs!$C$30)</f>
        <v>0</v>
      </c>
      <c r="K21" s="5">
        <f>J21*(1+Inputs!$C$30)</f>
        <v>0</v>
      </c>
      <c r="L21" s="5">
        <f>K21*(1+Inputs!$C$30)</f>
        <v>0</v>
      </c>
      <c r="M21" s="5">
        <f>L21*(1+Inputs!$C$30)</f>
        <v>0</v>
      </c>
      <c r="N21" s="5">
        <f>M21*(1+Inputs!$C$30)</f>
        <v>0</v>
      </c>
    </row>
    <row r="22" spans="1:14">
      <c r="A22" s="2" t="s">
        <v>82</v>
      </c>
      <c r="C22" s="5">
        <v>6970</v>
      </c>
      <c r="D22" s="5">
        <v>12576</v>
      </c>
      <c r="E22" s="5">
        <v>11501</v>
      </c>
      <c r="F22" s="5">
        <v>15264</v>
      </c>
      <c r="G22" s="5">
        <v>20440</v>
      </c>
      <c r="H22" s="5">
        <f>H8*Inputs!$C$28</f>
        <v>0</v>
      </c>
      <c r="I22" s="5">
        <f>I8*Inputs!$C$28</f>
        <v>0</v>
      </c>
      <c r="J22" s="5">
        <f>J8*Inputs!$C$28</f>
        <v>0</v>
      </c>
      <c r="K22" s="5">
        <f>K8*Inputs!$C$28</f>
        <v>0</v>
      </c>
      <c r="L22" s="5">
        <f>L8*Inputs!$C$28</f>
        <v>0</v>
      </c>
      <c r="M22" s="5">
        <f>M8*Inputs!$C$28</f>
        <v>0</v>
      </c>
      <c r="N22" s="5">
        <f>N8*Inputs!$C$28</f>
        <v>0</v>
      </c>
    </row>
    <row r="23" spans="1:14">
      <c r="A23" s="2" t="s">
        <v>83</v>
      </c>
      <c r="G23" s="5">
        <v>0</v>
      </c>
      <c r="H23" s="5">
        <f>G23+H36+H37+H38</f>
        <v>0</v>
      </c>
      <c r="I23" s="5">
        <f>H23+I36+I37+I38</f>
        <v>0</v>
      </c>
      <c r="J23" s="5">
        <f>I23+J36+J37+J38</f>
        <v>0</v>
      </c>
      <c r="K23" s="5">
        <f>J23+K36+K37+K38</f>
        <v>0</v>
      </c>
      <c r="L23" s="5">
        <f>K23+L36+L37+L38</f>
        <v>0</v>
      </c>
      <c r="M23" s="5">
        <f>L23+M36+M37+M38</f>
        <v>0</v>
      </c>
      <c r="N23" s="5">
        <f>M23+N36+N37+N38</f>
        <v>0</v>
      </c>
    </row>
    <row r="24" spans="1:14">
      <c r="A24" s="2" t="s">
        <v>84</v>
      </c>
      <c r="C24" s="14">
        <f>C19+C20+C21+C22</f>
        <v>0</v>
      </c>
      <c r="D24" s="14">
        <f>D19+D20+D21+D22</f>
        <v>0</v>
      </c>
      <c r="E24" s="14">
        <f>E19+E20+E21+E22</f>
        <v>0</v>
      </c>
      <c r="F24" s="14">
        <f>F19+F20+F21+F22</f>
        <v>0</v>
      </c>
      <c r="G24" s="14">
        <f>G19+G20+G21+G22+G23</f>
        <v>0</v>
      </c>
      <c r="H24" s="14">
        <f>H19+H20+H21+H22+H23</f>
        <v>0</v>
      </c>
      <c r="I24" s="14">
        <f>I19+I20+I21+I22+I23</f>
        <v>0</v>
      </c>
      <c r="J24" s="14">
        <f>J19+J20+J21+J22+J23</f>
        <v>0</v>
      </c>
      <c r="K24" s="14">
        <f>K19+K20+K21+K22+K23</f>
        <v>0</v>
      </c>
      <c r="L24" s="14">
        <f>L19+L20+L21+L22+L23</f>
        <v>0</v>
      </c>
      <c r="M24" s="14">
        <f>M19+M20+M21+M22+M23</f>
        <v>0</v>
      </c>
      <c r="N24" s="14">
        <f>N19+N20+N21+N22+N23</f>
        <v>0</v>
      </c>
    </row>
    <row r="25" spans="1:14">
      <c r="A25" s="2" t="s">
        <v>85</v>
      </c>
      <c r="C25" s="5">
        <v>1640</v>
      </c>
      <c r="D25" s="5">
        <v>1641</v>
      </c>
      <c r="E25" s="5">
        <v>1641</v>
      </c>
      <c r="F25" s="5">
        <v>1745</v>
      </c>
      <c r="G25" s="5">
        <v>1756</v>
      </c>
      <c r="H25" s="5">
        <f>G25</f>
        <v>0</v>
      </c>
      <c r="I25" s="5">
        <f>H25</f>
        <v>0</v>
      </c>
      <c r="J25" s="5">
        <f>I25</f>
        <v>0</v>
      </c>
      <c r="K25" s="5">
        <f>J25</f>
        <v>0</v>
      </c>
      <c r="L25" s="5">
        <f>K25</f>
        <v>0</v>
      </c>
      <c r="M25" s="5">
        <f>L25</f>
        <v>0</v>
      </c>
      <c r="N25" s="5">
        <f>M25</f>
        <v>0</v>
      </c>
    </row>
    <row r="26" spans="1:14">
      <c r="A26" s="2" t="s">
        <v>86</v>
      </c>
      <c r="C26" s="5">
        <v>15775</v>
      </c>
      <c r="D26" s="5">
        <v>16988</v>
      </c>
      <c r="E26" s="5">
        <v>19191</v>
      </c>
      <c r="F26" s="5">
        <v>25616</v>
      </c>
      <c r="G26" s="5">
        <v>28995</v>
      </c>
      <c r="H26" s="5">
        <f>G26+H15-H17</f>
        <v>0</v>
      </c>
      <c r="I26" s="5">
        <f>H26+I15-I17</f>
        <v>0</v>
      </c>
      <c r="J26" s="5">
        <f>I26+J15-J17</f>
        <v>0</v>
      </c>
      <c r="K26" s="5">
        <f>J26+K15-K17</f>
        <v>0</v>
      </c>
      <c r="L26" s="5">
        <f>K26+L15-L17</f>
        <v>0</v>
      </c>
      <c r="M26" s="5">
        <f>L26+M15-M17</f>
        <v>0</v>
      </c>
      <c r="N26" s="5">
        <f>M26+N15-N17</f>
        <v>0</v>
      </c>
    </row>
    <row r="27" spans="1:14">
      <c r="A27" s="2" t="s">
        <v>87</v>
      </c>
      <c r="C27" s="5">
        <v>8943</v>
      </c>
      <c r="D27" s="5">
        <v>25051</v>
      </c>
      <c r="E27" s="5">
        <v>31573</v>
      </c>
      <c r="F27" s="5">
        <v>50185</v>
      </c>
      <c r="G27" s="5">
        <v>76946</v>
      </c>
      <c r="H27" s="5">
        <f>G27+H32*Inputs!$C$25</f>
        <v>0</v>
      </c>
      <c r="I27" s="5">
        <f>H27+I32*Inputs!$C$25</f>
        <v>0</v>
      </c>
      <c r="J27" s="5">
        <f>I27+J32*Inputs!$C$25</f>
        <v>0</v>
      </c>
      <c r="K27" s="5">
        <f>J27+K32*Inputs!$C$25</f>
        <v>0</v>
      </c>
      <c r="L27" s="5">
        <f>K27+L32*Inputs!$C$25</f>
        <v>0</v>
      </c>
      <c r="M27" s="5">
        <f>L27+M32*Inputs!$C$25</f>
        <v>0</v>
      </c>
      <c r="N27" s="5">
        <f>M27+N32*Inputs!$C$25</f>
        <v>0</v>
      </c>
    </row>
    <row r="28" spans="1:14">
      <c r="A28" s="2" t="s">
        <v>88</v>
      </c>
      <c r="C28" s="5">
        <v>4157</v>
      </c>
      <c r="D28" s="5">
        <v>4737</v>
      </c>
      <c r="E28" s="5">
        <v>5362</v>
      </c>
      <c r="F28" s="5">
        <v>11909</v>
      </c>
      <c r="G28" s="5">
        <v>16110</v>
      </c>
      <c r="H28" s="5">
        <f>H8*Inputs!$C$29</f>
        <v>0</v>
      </c>
      <c r="I28" s="5">
        <f>I8*Inputs!$C$29</f>
        <v>0</v>
      </c>
      <c r="J28" s="5">
        <f>J8*Inputs!$C$29</f>
        <v>0</v>
      </c>
      <c r="K28" s="5">
        <f>K8*Inputs!$C$29</f>
        <v>0</v>
      </c>
      <c r="L28" s="5">
        <f>L8*Inputs!$C$29</f>
        <v>0</v>
      </c>
      <c r="M28" s="5">
        <f>M8*Inputs!$C$29</f>
        <v>0</v>
      </c>
      <c r="N28" s="5">
        <f>N8*Inputs!$C$29</f>
        <v>0</v>
      </c>
    </row>
    <row r="29" spans="1:14">
      <c r="A29" s="2" t="s">
        <v>89</v>
      </c>
      <c r="C29" s="14">
        <f>C25+C26+C27+C28</f>
        <v>0</v>
      </c>
      <c r="D29" s="14">
        <f>D25+D26+D27+D28</f>
        <v>0</v>
      </c>
      <c r="E29" s="14">
        <f>E25+E26+E27+E28</f>
        <v>0</v>
      </c>
      <c r="F29" s="14">
        <f>F25+F26+F27+F28</f>
        <v>0</v>
      </c>
      <c r="G29" s="14">
        <f>G25+G26+G27+G28</f>
        <v>0</v>
      </c>
      <c r="H29" s="14">
        <f>H25+H26+H27+H28</f>
        <v>0</v>
      </c>
      <c r="I29" s="14">
        <f>I25+I26+I27+I28</f>
        <v>0</v>
      </c>
      <c r="J29" s="14">
        <f>J25+J26+J27+J28</f>
        <v>0</v>
      </c>
      <c r="K29" s="14">
        <f>K25+K26+K27+K28</f>
        <v>0</v>
      </c>
      <c r="L29" s="14">
        <f>L25+L26+L27+L28</f>
        <v>0</v>
      </c>
      <c r="M29" s="14">
        <f>M25+M26+M27+M28</f>
        <v>0</v>
      </c>
      <c r="N29" s="14">
        <f>N25+N26+N27+N28</f>
        <v>0</v>
      </c>
    </row>
    <row r="30" spans="1:14">
      <c r="A30" s="2" t="s">
        <v>90</v>
      </c>
      <c r="C30" s="15">
        <f>IF(ABS(C24-C29)&lt;2,0,C24-C29)</f>
        <v>0</v>
      </c>
      <c r="D30" s="15">
        <f>IF(ABS(D24-D29)&lt;2,0,D24-D29)</f>
        <v>0</v>
      </c>
      <c r="E30" s="15">
        <f>IF(ABS(E24-E29)&lt;2,0,E24-E29)</f>
        <v>0</v>
      </c>
      <c r="F30" s="15">
        <f>IF(ABS(F24-F29)&lt;2,0,F24-F29)</f>
        <v>0</v>
      </c>
      <c r="G30" s="15">
        <f>IF(ABS(G24-G29)&lt;2,0,G24-G29)</f>
        <v>0</v>
      </c>
      <c r="H30" s="15">
        <f>ROUND(H24-H29,4)</f>
        <v>0</v>
      </c>
      <c r="I30" s="15">
        <f>ROUND(I24-I29,4)</f>
        <v>0</v>
      </c>
      <c r="J30" s="15">
        <f>ROUND(J24-J29,4)</f>
        <v>0</v>
      </c>
      <c r="K30" s="15">
        <f>ROUND(K24-K29,4)</f>
        <v>0</v>
      </c>
      <c r="L30" s="15">
        <f>ROUND(L24-L29,4)</f>
        <v>0</v>
      </c>
      <c r="M30" s="15">
        <f>ROUND(M24-M29,4)</f>
        <v>0</v>
      </c>
      <c r="N30" s="15">
        <f>ROUND(N24-N29,4)</f>
        <v>0</v>
      </c>
    </row>
    <row r="31" spans="1:14">
      <c r="A31" s="12" t="s">
        <v>64</v>
      </c>
      <c r="B31" s="12"/>
      <c r="C31" s="12"/>
      <c r="D31" s="12"/>
      <c r="E31" s="12"/>
      <c r="F31" s="12"/>
      <c r="G31" s="12"/>
      <c r="H31" s="12"/>
      <c r="I31" s="12"/>
      <c r="J31" s="12"/>
      <c r="K31" s="12"/>
      <c r="L31" s="12"/>
      <c r="M31" s="12"/>
      <c r="N31" s="12"/>
    </row>
    <row r="32" spans="1:14">
      <c r="A32" s="2" t="s">
        <v>91</v>
      </c>
      <c r="C32" s="5">
        <v>1943</v>
      </c>
      <c r="D32" s="5">
        <v>14055</v>
      </c>
      <c r="E32" s="5">
        <v>11056</v>
      </c>
      <c r="F32" s="5">
        <v>26860</v>
      </c>
      <c r="G32" s="5">
        <v>30737</v>
      </c>
      <c r="H32" s="5">
        <f>H5*Inputs!$C$19</f>
        <v>0</v>
      </c>
      <c r="I32" s="5">
        <f>I5*Inputs!$C$19</f>
        <v>0</v>
      </c>
      <c r="J32" s="5">
        <f>J5*Inputs!$C$19</f>
        <v>0</v>
      </c>
      <c r="K32" s="5">
        <f>K5*Inputs!$C$19</f>
        <v>0</v>
      </c>
      <c r="L32" s="5">
        <f>L5*Inputs!$C$19</f>
        <v>0</v>
      </c>
      <c r="M32" s="5">
        <f>M5*Inputs!$C$19</f>
        <v>0</v>
      </c>
      <c r="N32" s="5">
        <f>N5*Inputs!$C$19</f>
        <v>0</v>
      </c>
    </row>
    <row r="33" spans="1:14">
      <c r="A33" s="2" t="s">
        <v>92</v>
      </c>
      <c r="C33" s="5">
        <v>325</v>
      </c>
      <c r="D33" s="5">
        <v>11358</v>
      </c>
      <c r="E33" s="5">
        <v>5559</v>
      </c>
      <c r="F33" s="5">
        <v>26864</v>
      </c>
      <c r="G33" s="5">
        <v>23553</v>
      </c>
      <c r="H33" s="5">
        <f>(G20+H32)*Inputs!$C$24</f>
        <v>0</v>
      </c>
      <c r="I33" s="5">
        <f>(H20+I32)*Inputs!$C$24</f>
        <v>0</v>
      </c>
      <c r="J33" s="5">
        <f>(I20+J32)*Inputs!$C$24</f>
        <v>0</v>
      </c>
      <c r="K33" s="5">
        <f>(J20+K32)*Inputs!$C$24</f>
        <v>0</v>
      </c>
      <c r="L33" s="5">
        <f>(K20+L32)*Inputs!$C$24</f>
        <v>0</v>
      </c>
      <c r="M33" s="5">
        <f>(L20+M32)*Inputs!$C$24</f>
        <v>0</v>
      </c>
      <c r="N33" s="5">
        <f>(M20+N32)*Inputs!$C$24</f>
        <v>0</v>
      </c>
    </row>
    <row r="34" spans="1:14">
      <c r="A34" s="12" t="s">
        <v>65</v>
      </c>
      <c r="B34" s="12"/>
      <c r="C34" s="12"/>
      <c r="D34" s="12"/>
      <c r="E34" s="12"/>
      <c r="F34" s="12"/>
      <c r="G34" s="12"/>
      <c r="H34" s="12"/>
      <c r="I34" s="12"/>
      <c r="J34" s="12"/>
      <c r="K34" s="12"/>
      <c r="L34" s="12"/>
      <c r="M34" s="12"/>
      <c r="N34" s="12"/>
    </row>
    <row r="35" spans="1:14">
      <c r="A35" s="2" t="s">
        <v>93</v>
      </c>
      <c r="H35" s="5">
        <f>(H22-H28)-(G22-G28)</f>
        <v>0</v>
      </c>
      <c r="I35" s="5">
        <f>(I22-I28)-(H22-H28)</f>
        <v>0</v>
      </c>
      <c r="J35" s="5">
        <f>(J22-J28)-(I22-I28)</f>
        <v>0</v>
      </c>
      <c r="K35" s="5">
        <f>(K22-K28)-(J22-J28)</f>
        <v>0</v>
      </c>
      <c r="L35" s="5">
        <f>(L22-L28)-(K22-K28)</f>
        <v>0</v>
      </c>
      <c r="M35" s="5">
        <f>(M22-M28)-(L22-L28)</f>
        <v>0</v>
      </c>
      <c r="N35" s="5">
        <f>(N22-N28)-(M22-M28)</f>
        <v>0</v>
      </c>
    </row>
    <row r="36" spans="1:14">
      <c r="A36" s="2" t="s">
        <v>94</v>
      </c>
      <c r="C36" s="5">
        <v>2952</v>
      </c>
      <c r="D36" s="5">
        <v>2084</v>
      </c>
      <c r="E36" s="5">
        <v>6234</v>
      </c>
      <c r="F36" s="5">
        <v>3838</v>
      </c>
      <c r="G36" s="5">
        <v>9898</v>
      </c>
      <c r="H36" s="5">
        <f>H15+H11-H35</f>
        <v>0</v>
      </c>
      <c r="I36" s="5">
        <f>I15+I11-I35</f>
        <v>0</v>
      </c>
      <c r="J36" s="5">
        <f>J15+J11-J35</f>
        <v>0</v>
      </c>
      <c r="K36" s="5">
        <f>K15+K11-K35</f>
        <v>0</v>
      </c>
      <c r="L36" s="5">
        <f>L15+L11-L35</f>
        <v>0</v>
      </c>
      <c r="M36" s="5">
        <f>M15+M11-M35</f>
        <v>0</v>
      </c>
      <c r="N36" s="5">
        <f>N15+N11-N35</f>
        <v>0</v>
      </c>
    </row>
    <row r="37" spans="1:14">
      <c r="A37" s="2" t="s">
        <v>95</v>
      </c>
      <c r="C37" s="5">
        <v>-1387</v>
      </c>
      <c r="D37" s="5">
        <v>-6778</v>
      </c>
      <c r="E37" s="5">
        <v>-8197</v>
      </c>
      <c r="F37" s="5">
        <v>-22990</v>
      </c>
      <c r="G37" s="5">
        <v>-18523</v>
      </c>
      <c r="H37" s="5">
        <f>-H32-(H21-G21)</f>
        <v>0</v>
      </c>
      <c r="I37" s="5">
        <f>-I32-(I21-H21)</f>
        <v>0</v>
      </c>
      <c r="J37" s="5">
        <f>-J32-(J21-I21)</f>
        <v>0</v>
      </c>
      <c r="K37" s="5">
        <f>-K32-(K21-J21)</f>
        <v>0</v>
      </c>
      <c r="L37" s="5">
        <f>-L32-(L21-K21)</f>
        <v>0</v>
      </c>
      <c r="M37" s="5">
        <f>-M32-(M21-L21)</f>
        <v>0</v>
      </c>
      <c r="N37" s="5">
        <f>-N32-(N21-M21)</f>
        <v>0</v>
      </c>
    </row>
    <row r="38" spans="1:14">
      <c r="A38" s="2" t="s">
        <v>96</v>
      </c>
      <c r="C38" s="5">
        <v>-781</v>
      </c>
      <c r="D38" s="5">
        <v>7327</v>
      </c>
      <c r="E38" s="5">
        <v>1675</v>
      </c>
      <c r="F38" s="5">
        <v>20223</v>
      </c>
      <c r="G38" s="5">
        <v>10617</v>
      </c>
      <c r="H38" s="5">
        <f>(H27-G27)-H17</f>
        <v>0</v>
      </c>
      <c r="I38" s="5">
        <f>(I27-H27)-I17</f>
        <v>0</v>
      </c>
      <c r="J38" s="5">
        <f>(J27-I27)-J17</f>
        <v>0</v>
      </c>
      <c r="K38" s="5">
        <f>(K27-J27)-K17</f>
        <v>0</v>
      </c>
      <c r="L38" s="5">
        <f>(L27-K27)-L17</f>
        <v>0</v>
      </c>
      <c r="M38" s="5">
        <f>(M27-L27)-M17</f>
        <v>0</v>
      </c>
      <c r="N38" s="5">
        <f>(N27-M27)-N17</f>
        <v>0</v>
      </c>
    </row>
    <row r="39" spans="1:14">
      <c r="A39" s="12" t="s">
        <v>66</v>
      </c>
      <c r="B39" s="12"/>
      <c r="C39" s="12"/>
      <c r="D39" s="12"/>
      <c r="E39" s="12"/>
      <c r="F39" s="12"/>
      <c r="G39" s="12"/>
      <c r="H39" s="12"/>
      <c r="I39" s="12"/>
      <c r="J39" s="12"/>
      <c r="K39" s="12"/>
      <c r="L39" s="12"/>
      <c r="M39" s="12"/>
      <c r="N39" s="12"/>
    </row>
    <row r="40" spans="1:14">
      <c r="A40" s="2" t="s">
        <v>97</v>
      </c>
      <c r="C40" s="11">
        <f>C27/C9</f>
        <v>0</v>
      </c>
      <c r="D40" s="11">
        <f>D27/D9</f>
        <v>0</v>
      </c>
      <c r="E40" s="11">
        <f>E27/E9</f>
        <v>0</v>
      </c>
      <c r="F40" s="11">
        <f>F27/F9</f>
        <v>0</v>
      </c>
      <c r="G40" s="11">
        <f>G27/G9</f>
        <v>0</v>
      </c>
      <c r="H40" s="11">
        <f>(H27-H23)/H9</f>
        <v>0</v>
      </c>
      <c r="I40" s="11">
        <f>(I27-I23)/I9</f>
        <v>0</v>
      </c>
      <c r="J40" s="11">
        <f>(J27-J23)/J9</f>
        <v>0</v>
      </c>
      <c r="K40" s="11">
        <f>(K27-K23)/K9</f>
        <v>0</v>
      </c>
      <c r="L40" s="11">
        <f>(L27-L23)/L9</f>
        <v>0</v>
      </c>
      <c r="M40" s="11">
        <f>(M27-M23)/M9</f>
        <v>0</v>
      </c>
      <c r="N40" s="11">
        <f>(N27-N23)/N9</f>
        <v>0</v>
      </c>
    </row>
    <row r="41" spans="1:14">
      <c r="A41" s="2" t="s">
        <v>98</v>
      </c>
      <c r="H41" s="6">
        <f>H15/((H25+H26+G25+G26)/2)</f>
        <v>0</v>
      </c>
      <c r="I41" s="6">
        <f>I15/((I25+I26+H25+H26)/2)</f>
        <v>0</v>
      </c>
      <c r="J41" s="6">
        <f>J15/((J25+J26+I25+I26)/2)</f>
        <v>0</v>
      </c>
      <c r="K41" s="6">
        <f>K15/((K25+K26+J25+J26)/2)</f>
        <v>0</v>
      </c>
      <c r="L41" s="6">
        <f>L15/((L25+L26+K25+K26)/2)</f>
        <v>0</v>
      </c>
      <c r="M41" s="6">
        <f>M15/((M25+M26+L25+L26)/2)</f>
        <v>0</v>
      </c>
      <c r="N41" s="6">
        <f>N15/((N25+N26+M25+M26)/2)</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9"/>
  <sheetViews>
    <sheetView showGridLines="0" workbookViewId="0"/>
  </sheetViews>
  <sheetFormatPr defaultRowHeight="15"/>
  <cols>
    <col min="1" max="1" width="36.7109375" customWidth="1"/>
    <col min="2" max="2" width="8.7109375" customWidth="1"/>
    <col min="3" max="17" width="11.7109375" customWidth="1"/>
  </cols>
  <sheetData>
    <row r="1" spans="1:9">
      <c r="A1" s="1" t="s">
        <v>99</v>
      </c>
    </row>
    <row r="3" spans="1:9">
      <c r="A3" s="3" t="s">
        <v>100</v>
      </c>
      <c r="B3" s="3"/>
      <c r="C3" s="3" t="s">
        <v>2</v>
      </c>
    </row>
    <row r="4" spans="1:9">
      <c r="A4" s="2" t="s">
        <v>101</v>
      </c>
      <c r="C4" s="6">
        <f>Inputs!$C$4-Inputs!$C$5</f>
        <v>0</v>
      </c>
    </row>
    <row r="5" spans="1:9">
      <c r="A5" s="2" t="s">
        <v>102</v>
      </c>
      <c r="C5" s="13">
        <f>0.67*Inputs!$C$10+0.33</f>
        <v>0</v>
      </c>
    </row>
    <row r="6" spans="1:9">
      <c r="A6" s="2" t="s">
        <v>103</v>
      </c>
      <c r="C6" s="6">
        <f>$C$4+$C$5*Inputs!$C$6</f>
        <v>0</v>
      </c>
    </row>
    <row r="7" spans="1:9">
      <c r="A7" s="2" t="s">
        <v>104</v>
      </c>
      <c r="C7" s="6">
        <f>Inputs!$C$11*(1-Inputs!$C$7)</f>
        <v>0</v>
      </c>
    </row>
    <row r="8" spans="1:9">
      <c r="A8" s="2" t="s">
        <v>105</v>
      </c>
      <c r="C8" s="5">
        <f>Model!$G$27</f>
        <v>0</v>
      </c>
    </row>
    <row r="9" spans="1:9">
      <c r="A9" s="2" t="s">
        <v>106</v>
      </c>
      <c r="C9" s="5">
        <f>Inputs!$C$14*Inputs!$C$15</f>
        <v>0</v>
      </c>
    </row>
    <row r="10" spans="1:9">
      <c r="A10" s="2" t="s">
        <v>107</v>
      </c>
      <c r="C10" s="6">
        <f>$C$8/($C$8+$C$9)</f>
        <v>0</v>
      </c>
    </row>
    <row r="11" spans="1:9">
      <c r="A11" s="2" t="s">
        <v>108</v>
      </c>
      <c r="C11" s="6">
        <f>(1-$C$10)*$C$6+$C$10*$C$7</f>
        <v>0</v>
      </c>
    </row>
    <row r="13" spans="1:9">
      <c r="A13" s="3" t="s">
        <v>109</v>
      </c>
      <c r="C13" s="3" t="s">
        <v>54</v>
      </c>
      <c r="D13" s="3" t="s">
        <v>55</v>
      </c>
      <c r="E13" s="3" t="s">
        <v>56</v>
      </c>
      <c r="F13" s="3" t="s">
        <v>57</v>
      </c>
      <c r="G13" s="3" t="s">
        <v>58</v>
      </c>
      <c r="H13" s="3" t="s">
        <v>59</v>
      </c>
      <c r="I13" s="3" t="s">
        <v>60</v>
      </c>
    </row>
    <row r="14" spans="1:9">
      <c r="A14" s="2" t="s">
        <v>110</v>
      </c>
      <c r="C14" s="5">
        <f>(Model!$H$9-Model!$H$11)*(1-Inputs!$C$7)</f>
        <v>0</v>
      </c>
      <c r="D14" s="5">
        <f>(Model!$I$9-Model!$I$11)*(1-Inputs!$C$7)</f>
        <v>0</v>
      </c>
      <c r="E14" s="5">
        <f>(Model!$J$9-Model!$J$11)*(1-Inputs!$C$7)</f>
        <v>0</v>
      </c>
      <c r="F14" s="5">
        <f>(Model!$K$9-Model!$K$11)*(1-Inputs!$C$7)</f>
        <v>0</v>
      </c>
      <c r="G14" s="5">
        <f>(Model!$L$9-Model!$L$11)*(1-Inputs!$C$7)</f>
        <v>0</v>
      </c>
      <c r="H14" s="5">
        <f>(Model!$M$9-Model!$M$11)*(1-Inputs!$C$7)</f>
        <v>0</v>
      </c>
      <c r="I14" s="5">
        <f>(Model!$N$9-Model!$N$11)*(1-Inputs!$C$7)</f>
        <v>0</v>
      </c>
    </row>
    <row r="15" spans="1:9">
      <c r="A15" s="2" t="s">
        <v>72</v>
      </c>
      <c r="C15" s="5">
        <f>Model!$H$11</f>
        <v>0</v>
      </c>
      <c r="D15" s="5">
        <f>Model!$I$11</f>
        <v>0</v>
      </c>
      <c r="E15" s="5">
        <f>Model!$J$11</f>
        <v>0</v>
      </c>
      <c r="F15" s="5">
        <f>Model!$K$11</f>
        <v>0</v>
      </c>
      <c r="G15" s="5">
        <f>Model!$L$11</f>
        <v>0</v>
      </c>
      <c r="H15" s="5">
        <f>Model!$M$11</f>
        <v>0</v>
      </c>
      <c r="I15" s="5">
        <f>Model!$N$11</f>
        <v>0</v>
      </c>
    </row>
    <row r="16" spans="1:9">
      <c r="A16" s="2" t="s">
        <v>91</v>
      </c>
      <c r="C16" s="5">
        <f>-Model!$H$32</f>
        <v>0</v>
      </c>
      <c r="D16" s="5">
        <f>-Model!$I$32</f>
        <v>0</v>
      </c>
      <c r="E16" s="5">
        <f>-Model!$J$32</f>
        <v>0</v>
      </c>
      <c r="F16" s="5">
        <f>-Model!$K$32</f>
        <v>0</v>
      </c>
      <c r="G16" s="5">
        <f>-Model!$L$32</f>
        <v>0</v>
      </c>
      <c r="H16" s="5">
        <f>-Model!$M$32</f>
        <v>0</v>
      </c>
      <c r="I16" s="5">
        <f>-Model!$N$32</f>
        <v>0</v>
      </c>
    </row>
    <row r="17" spans="1:9">
      <c r="A17" s="2" t="s">
        <v>111</v>
      </c>
      <c r="C17" s="5">
        <f>-Model!$H$35</f>
        <v>0</v>
      </c>
      <c r="D17" s="5">
        <f>-Model!$I$35</f>
        <v>0</v>
      </c>
      <c r="E17" s="5">
        <f>-Model!$J$35</f>
        <v>0</v>
      </c>
      <c r="F17" s="5">
        <f>-Model!$K$35</f>
        <v>0</v>
      </c>
      <c r="G17" s="5">
        <f>-Model!$L$35</f>
        <v>0</v>
      </c>
      <c r="H17" s="5">
        <f>-Model!$M$35</f>
        <v>0</v>
      </c>
      <c r="I17" s="5">
        <f>-Model!$N$35</f>
        <v>0</v>
      </c>
    </row>
    <row r="18" spans="1:9">
      <c r="A18" s="2" t="s">
        <v>112</v>
      </c>
      <c r="C18" s="14">
        <f>SUM(C14:C17)</f>
        <v>0</v>
      </c>
      <c r="D18" s="14">
        <f>SUM(D14:D17)</f>
        <v>0</v>
      </c>
      <c r="E18" s="14">
        <f>SUM(E14:E17)</f>
        <v>0</v>
      </c>
      <c r="F18" s="14">
        <f>SUM(F14:F17)</f>
        <v>0</v>
      </c>
      <c r="G18" s="14">
        <f>SUM(G14:G17)</f>
        <v>0</v>
      </c>
      <c r="H18" s="14">
        <f>SUM(H14:H17)</f>
        <v>0</v>
      </c>
      <c r="I18" s="14">
        <f>SUM(I14:I17)</f>
        <v>0</v>
      </c>
    </row>
    <row r="19" spans="1:9">
      <c r="A19" s="2" t="s">
        <v>113</v>
      </c>
      <c r="C19" s="5">
        <f>C18*Inputs!$C$8</f>
        <v>0</v>
      </c>
      <c r="D19" s="5">
        <f>D18*1</f>
        <v>0</v>
      </c>
      <c r="E19" s="5">
        <f>E18*1</f>
        <v>0</v>
      </c>
      <c r="F19" s="5">
        <f>F18*1</f>
        <v>0</v>
      </c>
      <c r="G19" s="5">
        <f>G18*1</f>
        <v>0</v>
      </c>
      <c r="H19" s="5">
        <f>H18*1</f>
        <v>0</v>
      </c>
      <c r="I19" s="5">
        <f>I18*1</f>
        <v>0</v>
      </c>
    </row>
    <row r="20" spans="1:9">
      <c r="A20" s="2" t="s">
        <v>114</v>
      </c>
      <c r="C20" s="13">
        <f>Inputs!$C$8+0</f>
        <v>0</v>
      </c>
      <c r="D20" s="13">
        <f>Inputs!$C$8+1</f>
        <v>0</v>
      </c>
      <c r="E20" s="13">
        <f>Inputs!$C$8+2</f>
        <v>0</v>
      </c>
      <c r="F20" s="13">
        <f>Inputs!$C$8+3</f>
        <v>0</v>
      </c>
      <c r="G20" s="13">
        <f>Inputs!$C$8+4</f>
        <v>0</v>
      </c>
      <c r="H20" s="13">
        <f>Inputs!$C$8+5</f>
        <v>0</v>
      </c>
      <c r="I20" s="13">
        <f>Inputs!$C$8+6</f>
        <v>0</v>
      </c>
    </row>
    <row r="21" spans="1:9">
      <c r="A21" s="2" t="s">
        <v>115</v>
      </c>
      <c r="C21" s="13">
        <f>1/(1+DCF!$C$11)^C20</f>
        <v>0</v>
      </c>
      <c r="D21" s="13">
        <f>1/(1+DCF!$C$11)^D20</f>
        <v>0</v>
      </c>
      <c r="E21" s="13">
        <f>1/(1+DCF!$C$11)^E20</f>
        <v>0</v>
      </c>
      <c r="F21" s="13">
        <f>1/(1+DCF!$C$11)^F20</f>
        <v>0</v>
      </c>
      <c r="G21" s="13">
        <f>1/(1+DCF!$C$11)^G20</f>
        <v>0</v>
      </c>
      <c r="H21" s="13">
        <f>1/(1+DCF!$C$11)^H20</f>
        <v>0</v>
      </c>
      <c r="I21" s="13">
        <f>1/(1+DCF!$C$11)^I20</f>
        <v>0</v>
      </c>
    </row>
    <row r="22" spans="1:9">
      <c r="A22" s="2" t="s">
        <v>116</v>
      </c>
      <c r="C22" s="5">
        <f>C19*C21</f>
        <v>0</v>
      </c>
      <c r="D22" s="5">
        <f>D19*D21</f>
        <v>0</v>
      </c>
      <c r="E22" s="5">
        <f>E19*E21</f>
        <v>0</v>
      </c>
      <c r="F22" s="5">
        <f>F19*F21</f>
        <v>0</v>
      </c>
      <c r="G22" s="5">
        <f>G19*G21</f>
        <v>0</v>
      </c>
      <c r="H22" s="5">
        <f>H19*H21</f>
        <v>0</v>
      </c>
      <c r="I22" s="5">
        <f>I19*I21</f>
        <v>0</v>
      </c>
    </row>
    <row r="25" spans="1:9">
      <c r="A25" s="2" t="s">
        <v>117</v>
      </c>
      <c r="C25" s="5">
        <f>SUM(C22:I22)</f>
        <v>0</v>
      </c>
    </row>
    <row r="26" spans="1:9">
      <c r="A26" s="2" t="s">
        <v>118</v>
      </c>
      <c r="C26" s="5">
        <f>I14*(1+Inputs!$C$12)*(1-Inputs!$C$12/Inputs!$C$13)/(DCF!$C$11-Inputs!$C$12)</f>
        <v>0</v>
      </c>
    </row>
    <row r="27" spans="1:9">
      <c r="A27" s="2" t="s">
        <v>119</v>
      </c>
      <c r="C27" s="5">
        <f>$C$26/(1+DCF!$C$11)^I20</f>
        <v>0</v>
      </c>
    </row>
    <row r="28" spans="1:9">
      <c r="A28" s="2" t="s">
        <v>120</v>
      </c>
      <c r="C28" s="14">
        <f>$C$25+$C$27</f>
        <v>0</v>
      </c>
    </row>
    <row r="29" spans="1:9">
      <c r="A29" s="2" t="s">
        <v>121</v>
      </c>
      <c r="C29" s="5">
        <f>-Model!$G$27</f>
        <v>0</v>
      </c>
    </row>
    <row r="30" spans="1:9">
      <c r="A30" s="2" t="s">
        <v>122</v>
      </c>
      <c r="C30" s="5">
        <f>Inputs!$C$16</f>
        <v>0</v>
      </c>
    </row>
    <row r="31" spans="1:9">
      <c r="A31" s="2" t="s">
        <v>123</v>
      </c>
      <c r="C31" s="5">
        <f>Model!$G$21</f>
        <v>0</v>
      </c>
    </row>
    <row r="32" spans="1:9">
      <c r="A32" s="2" t="s">
        <v>124</v>
      </c>
      <c r="C32" s="5">
        <f>-Inputs!$C$17</f>
        <v>0</v>
      </c>
    </row>
    <row r="33" spans="1:7">
      <c r="A33" s="2" t="s">
        <v>125</v>
      </c>
      <c r="C33" s="14">
        <f>SUM($C$28,$C$29,$C$30,$C$31,$C$32)</f>
        <v>0</v>
      </c>
    </row>
    <row r="34" spans="1:7">
      <c r="A34" s="2" t="s">
        <v>126</v>
      </c>
      <c r="C34" s="4">
        <f>$C$33/Inputs!$C$15</f>
        <v>0</v>
      </c>
    </row>
    <row r="35" spans="1:7">
      <c r="A35" s="2" t="s">
        <v>127</v>
      </c>
      <c r="C35" s="6">
        <f>$C$27/$C$28</f>
        <v>0</v>
      </c>
    </row>
    <row r="36" spans="1:7">
      <c r="A36" s="2" t="s">
        <v>128</v>
      </c>
      <c r="C36" s="5">
        <f>Inputs!$C$18*Model!$G$9</f>
        <v>0</v>
      </c>
    </row>
    <row r="37" spans="1:7">
      <c r="A37" s="2" t="s">
        <v>129</v>
      </c>
      <c r="C37" s="4">
        <f>($C$36-Model!$G$27+Inputs!$C$16-Inputs!$C$17)/Inputs!$C$15</f>
        <v>0</v>
      </c>
    </row>
    <row r="38" spans="1:7">
      <c r="A38" s="2" t="s">
        <v>130</v>
      </c>
      <c r="C38" s="4">
        <f>Inputs!$C$9*$C$34+(1-Inputs!$C$9)*$C$37</f>
        <v>0</v>
      </c>
    </row>
    <row r="39" spans="1:7">
      <c r="A39" s="2" t="s">
        <v>131</v>
      </c>
      <c r="C39" s="6">
        <f>$C$38/Inputs!$C$14-1</f>
        <v>0</v>
      </c>
    </row>
    <row r="40" spans="1:7">
      <c r="A40" s="2" t="s">
        <v>132</v>
      </c>
      <c r="C40" s="3">
        <f>IF($C$39&gt;0.15,"BUY",IF($C$39&lt;-0.1,"SELL","HOLD"))</f>
        <v>0</v>
      </c>
    </row>
    <row r="43" spans="1:7">
      <c r="A43" s="3" t="s">
        <v>133</v>
      </c>
    </row>
    <row r="44" spans="1:7">
      <c r="C44" s="8">
        <v>0.04</v>
      </c>
      <c r="D44" s="8">
        <v>0.045</v>
      </c>
      <c r="E44" s="8">
        <v>0.05</v>
      </c>
      <c r="F44" s="8">
        <v>0.055</v>
      </c>
      <c r="G44" s="8">
        <v>0.06</v>
      </c>
    </row>
    <row r="45" spans="1:7">
      <c r="B45" s="6">
        <f>DCF!$C$11+-0.01</f>
        <v>0</v>
      </c>
      <c r="C45" s="5">
        <f>(SUMPRODUCT($C$19:$I$19/(1+$B45)^$C$20:$I$20)+$I$14*(1+C$44)*(1-C$44/Inputs!$C$13)/($B45-C$44)/(1+$B45)^$I$20-Model!$G$27+Inputs!$C$16+Model!$G$21-Inputs!$C$17)/Inputs!$C$15</f>
        <v>0</v>
      </c>
      <c r="D45" s="5">
        <f>(SUMPRODUCT($C$19:$I$19/(1+$B45)^$C$20:$I$20)+$I$14*(1+D$44)*(1-D$44/Inputs!$C$13)/($B45-D$44)/(1+$B45)^$I$20-Model!$G$27+Inputs!$C$16+Model!$G$21-Inputs!$C$17)/Inputs!$C$15</f>
        <v>0</v>
      </c>
      <c r="E45" s="5">
        <f>(SUMPRODUCT($C$19:$I$19/(1+$B45)^$C$20:$I$20)+$I$14*(1+E$44)*(1-E$44/Inputs!$C$13)/($B45-E$44)/(1+$B45)^$I$20-Model!$G$27+Inputs!$C$16+Model!$G$21-Inputs!$C$17)/Inputs!$C$15</f>
        <v>0</v>
      </c>
      <c r="F45" s="5">
        <f>(SUMPRODUCT($C$19:$I$19/(1+$B45)^$C$20:$I$20)+$I$14*(1+F$44)*(1-F$44/Inputs!$C$13)/($B45-F$44)/(1+$B45)^$I$20-Model!$G$27+Inputs!$C$16+Model!$G$21-Inputs!$C$17)/Inputs!$C$15</f>
        <v>0</v>
      </c>
      <c r="G45" s="5">
        <f>(SUMPRODUCT($C$19:$I$19/(1+$B45)^$C$20:$I$20)+$I$14*(1+G$44)*(1-G$44/Inputs!$C$13)/($B45-G$44)/(1+$B45)^$I$20-Model!$G$27+Inputs!$C$16+Model!$G$21-Inputs!$C$17)/Inputs!$C$15</f>
        <v>0</v>
      </c>
    </row>
    <row r="46" spans="1:7">
      <c r="B46" s="6">
        <f>DCF!$C$11+-0.005</f>
        <v>0</v>
      </c>
      <c r="C46" s="5">
        <f>(SUMPRODUCT($C$19:$I$19/(1+$B46)^$C$20:$I$20)+$I$14*(1+C$44)*(1-C$44/Inputs!$C$13)/($B46-C$44)/(1+$B46)^$I$20-Model!$G$27+Inputs!$C$16+Model!$G$21-Inputs!$C$17)/Inputs!$C$15</f>
        <v>0</v>
      </c>
      <c r="D46" s="5">
        <f>(SUMPRODUCT($C$19:$I$19/(1+$B46)^$C$20:$I$20)+$I$14*(1+D$44)*(1-D$44/Inputs!$C$13)/($B46-D$44)/(1+$B46)^$I$20-Model!$G$27+Inputs!$C$16+Model!$G$21-Inputs!$C$17)/Inputs!$C$15</f>
        <v>0</v>
      </c>
      <c r="E46" s="5">
        <f>(SUMPRODUCT($C$19:$I$19/(1+$B46)^$C$20:$I$20)+$I$14*(1+E$44)*(1-E$44/Inputs!$C$13)/($B46-E$44)/(1+$B46)^$I$20-Model!$G$27+Inputs!$C$16+Model!$G$21-Inputs!$C$17)/Inputs!$C$15</f>
        <v>0</v>
      </c>
      <c r="F46" s="5">
        <f>(SUMPRODUCT($C$19:$I$19/(1+$B46)^$C$20:$I$20)+$I$14*(1+F$44)*(1-F$44/Inputs!$C$13)/($B46-F$44)/(1+$B46)^$I$20-Model!$G$27+Inputs!$C$16+Model!$G$21-Inputs!$C$17)/Inputs!$C$15</f>
        <v>0</v>
      </c>
      <c r="G46" s="5">
        <f>(SUMPRODUCT($C$19:$I$19/(1+$B46)^$C$20:$I$20)+$I$14*(1+G$44)*(1-G$44/Inputs!$C$13)/($B46-G$44)/(1+$B46)^$I$20-Model!$G$27+Inputs!$C$16+Model!$G$21-Inputs!$C$17)/Inputs!$C$15</f>
        <v>0</v>
      </c>
    </row>
    <row r="47" spans="1:7">
      <c r="B47" s="6">
        <f>DCF!$C$11+0</f>
        <v>0</v>
      </c>
      <c r="C47" s="5">
        <f>(SUMPRODUCT($C$19:$I$19/(1+$B47)^$C$20:$I$20)+$I$14*(1+C$44)*(1-C$44/Inputs!$C$13)/($B47-C$44)/(1+$B47)^$I$20-Model!$G$27+Inputs!$C$16+Model!$G$21-Inputs!$C$17)/Inputs!$C$15</f>
        <v>0</v>
      </c>
      <c r="D47" s="5">
        <f>(SUMPRODUCT($C$19:$I$19/(1+$B47)^$C$20:$I$20)+$I$14*(1+D$44)*(1-D$44/Inputs!$C$13)/($B47-D$44)/(1+$B47)^$I$20-Model!$G$27+Inputs!$C$16+Model!$G$21-Inputs!$C$17)/Inputs!$C$15</f>
        <v>0</v>
      </c>
      <c r="E47" s="5">
        <f>(SUMPRODUCT($C$19:$I$19/(1+$B47)^$C$20:$I$20)+$I$14*(1+E$44)*(1-E$44/Inputs!$C$13)/($B47-E$44)/(1+$B47)^$I$20-Model!$G$27+Inputs!$C$16+Model!$G$21-Inputs!$C$17)/Inputs!$C$15</f>
        <v>0</v>
      </c>
      <c r="F47" s="5">
        <f>(SUMPRODUCT($C$19:$I$19/(1+$B47)^$C$20:$I$20)+$I$14*(1+F$44)*(1-F$44/Inputs!$C$13)/($B47-F$44)/(1+$B47)^$I$20-Model!$G$27+Inputs!$C$16+Model!$G$21-Inputs!$C$17)/Inputs!$C$15</f>
        <v>0</v>
      </c>
      <c r="G47" s="5">
        <f>(SUMPRODUCT($C$19:$I$19/(1+$B47)^$C$20:$I$20)+$I$14*(1+G$44)*(1-G$44/Inputs!$C$13)/($B47-G$44)/(1+$B47)^$I$20-Model!$G$27+Inputs!$C$16+Model!$G$21-Inputs!$C$17)/Inputs!$C$15</f>
        <v>0</v>
      </c>
    </row>
    <row r="48" spans="1:7">
      <c r="B48" s="6">
        <f>DCF!$C$11+0.005</f>
        <v>0</v>
      </c>
      <c r="C48" s="5">
        <f>(SUMPRODUCT($C$19:$I$19/(1+$B48)^$C$20:$I$20)+$I$14*(1+C$44)*(1-C$44/Inputs!$C$13)/($B48-C$44)/(1+$B48)^$I$20-Model!$G$27+Inputs!$C$16+Model!$G$21-Inputs!$C$17)/Inputs!$C$15</f>
        <v>0</v>
      </c>
      <c r="D48" s="5">
        <f>(SUMPRODUCT($C$19:$I$19/(1+$B48)^$C$20:$I$20)+$I$14*(1+D$44)*(1-D$44/Inputs!$C$13)/($B48-D$44)/(1+$B48)^$I$20-Model!$G$27+Inputs!$C$16+Model!$G$21-Inputs!$C$17)/Inputs!$C$15</f>
        <v>0</v>
      </c>
      <c r="E48" s="5">
        <f>(SUMPRODUCT($C$19:$I$19/(1+$B48)^$C$20:$I$20)+$I$14*(1+E$44)*(1-E$44/Inputs!$C$13)/($B48-E$44)/(1+$B48)^$I$20-Model!$G$27+Inputs!$C$16+Model!$G$21-Inputs!$C$17)/Inputs!$C$15</f>
        <v>0</v>
      </c>
      <c r="F48" s="5">
        <f>(SUMPRODUCT($C$19:$I$19/(1+$B48)^$C$20:$I$20)+$I$14*(1+F$44)*(1-F$44/Inputs!$C$13)/($B48-F$44)/(1+$B48)^$I$20-Model!$G$27+Inputs!$C$16+Model!$G$21-Inputs!$C$17)/Inputs!$C$15</f>
        <v>0</v>
      </c>
      <c r="G48" s="5">
        <f>(SUMPRODUCT($C$19:$I$19/(1+$B48)^$C$20:$I$20)+$I$14*(1+G$44)*(1-G$44/Inputs!$C$13)/($B48-G$44)/(1+$B48)^$I$20-Model!$G$27+Inputs!$C$16+Model!$G$21-Inputs!$C$17)/Inputs!$C$15</f>
        <v>0</v>
      </c>
    </row>
    <row r="49" spans="2:7">
      <c r="B49" s="6">
        <f>DCF!$C$11+0.01</f>
        <v>0</v>
      </c>
      <c r="C49" s="5">
        <f>(SUMPRODUCT($C$19:$I$19/(1+$B49)^$C$20:$I$20)+$I$14*(1+C$44)*(1-C$44/Inputs!$C$13)/($B49-C$44)/(1+$B49)^$I$20-Model!$G$27+Inputs!$C$16+Model!$G$21-Inputs!$C$17)/Inputs!$C$15</f>
        <v>0</v>
      </c>
      <c r="D49" s="5">
        <f>(SUMPRODUCT($C$19:$I$19/(1+$B49)^$C$20:$I$20)+$I$14*(1+D$44)*(1-D$44/Inputs!$C$13)/($B49-D$44)/(1+$B49)^$I$20-Model!$G$27+Inputs!$C$16+Model!$G$21-Inputs!$C$17)/Inputs!$C$15</f>
        <v>0</v>
      </c>
      <c r="E49" s="5">
        <f>(SUMPRODUCT($C$19:$I$19/(1+$B49)^$C$20:$I$20)+$I$14*(1+E$44)*(1-E$44/Inputs!$C$13)/($B49-E$44)/(1+$B49)^$I$20-Model!$G$27+Inputs!$C$16+Model!$G$21-Inputs!$C$17)/Inputs!$C$15</f>
        <v>0</v>
      </c>
      <c r="F49" s="5">
        <f>(SUMPRODUCT($C$19:$I$19/(1+$B49)^$C$20:$I$20)+$I$14*(1+F$44)*(1-F$44/Inputs!$C$13)/($B49-F$44)/(1+$B49)^$I$20-Model!$G$27+Inputs!$C$16+Model!$G$21-Inputs!$C$17)/Inputs!$C$15</f>
        <v>0</v>
      </c>
      <c r="G49" s="5">
        <f>(SUMPRODUCT($C$19:$I$19/(1+$B49)^$C$20:$I$20)+$I$14*(1+G$44)*(1-G$44/Inputs!$C$13)/($B49-G$44)/(1+$B49)^$I$20-Model!$G$27+Inputs!$C$16+Model!$G$21-Inputs!$C$17)/Inputs!$C$15</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7"/>
  <sheetViews>
    <sheetView showGridLines="0" workbookViewId="0"/>
  </sheetViews>
  <sheetFormatPr defaultRowHeight="15"/>
  <cols>
    <col min="1" max="2" width="22.7109375" customWidth="1"/>
    <col min="3" max="17" width="11.7109375" customWidth="1"/>
  </cols>
  <sheetData>
    <row r="1" spans="1:10">
      <c r="A1" s="1" t="s">
        <v>141</v>
      </c>
    </row>
    <row r="3" spans="1:10">
      <c r="A3" s="3" t="s">
        <v>142</v>
      </c>
      <c r="B3" s="3" t="s">
        <v>143</v>
      </c>
      <c r="C3" s="3" t="s">
        <v>144</v>
      </c>
      <c r="D3" s="3" t="s">
        <v>145</v>
      </c>
      <c r="E3" s="3" t="s">
        <v>146</v>
      </c>
      <c r="F3" s="3" t="s">
        <v>147</v>
      </c>
      <c r="G3" s="3" t="s">
        <v>148</v>
      </c>
      <c r="H3" s="3" t="s">
        <v>149</v>
      </c>
      <c r="I3" s="3" t="s">
        <v>68</v>
      </c>
      <c r="J3" s="3" t="s">
        <v>150</v>
      </c>
    </row>
    <row r="4" spans="1:10">
      <c r="A4" s="2" t="s">
        <v>151</v>
      </c>
      <c r="B4" s="2" t="s">
        <v>152</v>
      </c>
      <c r="C4" s="5">
        <v>390997.185143875</v>
      </c>
      <c r="D4" s="5">
        <v>444740.665143875</v>
      </c>
      <c r="E4" s="11">
        <v>22.45484525617868</v>
      </c>
      <c r="F4" s="11">
        <v>30.14395074734986</v>
      </c>
      <c r="G4" s="11">
        <v>6.021177220134515</v>
      </c>
      <c r="H4" s="6">
        <v>0.2138946604663434</v>
      </c>
      <c r="I4" s="6">
        <v>0.365148135174499</v>
      </c>
      <c r="J4" s="11">
        <v>2.639525396344542</v>
      </c>
    </row>
    <row r="5" spans="1:10">
      <c r="A5" s="2" t="s">
        <v>153</v>
      </c>
      <c r="B5" s="2" t="s">
        <v>154</v>
      </c>
      <c r="C5" s="5">
        <v>316693.11593644</v>
      </c>
      <c r="D5" s="5">
        <v>589225.82593644</v>
      </c>
      <c r="E5" s="11">
        <v>10.62855488900105</v>
      </c>
      <c r="F5" s="11">
        <v>11.49688215844188</v>
      </c>
      <c r="G5" s="11">
        <v>1.55871321384632</v>
      </c>
      <c r="H5" s="6">
        <v>0.1422657890183784</v>
      </c>
      <c r="I5" s="6">
        <v>0.2958507884836033</v>
      </c>
      <c r="J5" s="11">
        <v>4.772093509866878</v>
      </c>
    </row>
    <row r="6" spans="1:10">
      <c r="A6" s="2" t="s">
        <v>155</v>
      </c>
      <c r="B6" s="2" t="s">
        <v>156</v>
      </c>
      <c r="C6" s="5">
        <v>250651.27292205</v>
      </c>
      <c r="D6" s="5">
        <v>393788.9629220501</v>
      </c>
      <c r="E6" s="11">
        <v>11.99442487045932</v>
      </c>
      <c r="F6" s="11">
        <v>15.73651889264503</v>
      </c>
      <c r="G6" s="11">
        <v>2.494191423587976</v>
      </c>
      <c r="H6" s="6">
        <v>0.1649228347924227</v>
      </c>
      <c r="I6" s="6">
        <v>0.7025228425309739</v>
      </c>
      <c r="J6" s="11">
        <v>4.359833389174865</v>
      </c>
    </row>
    <row r="7" spans="1:10">
      <c r="A7" s="2" t="s">
        <v>157</v>
      </c>
      <c r="B7" s="2" t="s">
        <v>158</v>
      </c>
      <c r="C7" s="5">
        <v>213572.8602573</v>
      </c>
      <c r="D7" s="5">
        <v>322958.8602573</v>
      </c>
      <c r="E7" s="11">
        <v>29.94518871184979</v>
      </c>
      <c r="F7" s="11">
        <v>107.4850831692501</v>
      </c>
      <c r="G7" s="11">
        <v>10.69736339881292</v>
      </c>
      <c r="H7" s="6">
        <v>0.1237929100990592</v>
      </c>
      <c r="I7" s="6">
        <v>0.8342357673267327</v>
      </c>
      <c r="J7" s="11">
        <v>9.223180343069078</v>
      </c>
    </row>
    <row r="8" spans="1:10">
      <c r="A8" s="2" t="s">
        <v>159</v>
      </c>
      <c r="B8" s="2" t="s">
        <v>160</v>
      </c>
      <c r="C8" s="5">
        <v>117428.72835225</v>
      </c>
      <c r="D8" s="5">
        <v>195874.79835225</v>
      </c>
      <c r="E8" s="11">
        <v>14.75961105811544</v>
      </c>
      <c r="F8" s="11">
        <v>22.94426110829425</v>
      </c>
      <c r="G8" s="11">
        <v>2.975289559953633</v>
      </c>
      <c r="H8" s="6">
        <v>0.1359200095606103</v>
      </c>
      <c r="I8" s="6">
        <v>0.2125774880263979</v>
      </c>
      <c r="J8" s="11">
        <v>5.302931956898501</v>
      </c>
    </row>
    <row r="9" spans="1:10">
      <c r="A9" s="2" t="s">
        <v>161</v>
      </c>
      <c r="B9" s="2" t="s">
        <v>162</v>
      </c>
      <c r="C9" s="5">
        <v>92818.85147831999</v>
      </c>
      <c r="D9" s="5">
        <v>164481.69147832</v>
      </c>
      <c r="E9" s="11">
        <v>16.33707702406834</v>
      </c>
      <c r="F9" s="11">
        <v>33.60566671916003</v>
      </c>
      <c r="G9" s="11">
        <v>3.018401075682742</v>
      </c>
      <c r="H9" s="6">
        <v>0.0950578193832599</v>
      </c>
      <c r="I9" s="6">
        <v>0.532670229088408</v>
      </c>
      <c r="J9" s="11">
        <v>6.837205999205404</v>
      </c>
    </row>
    <row r="10" spans="1:10">
      <c r="A10" s="2" t="s">
        <v>163</v>
      </c>
      <c r="B10" s="2" t="s">
        <v>164</v>
      </c>
      <c r="C10" s="5">
        <v>76342.264518</v>
      </c>
      <c r="D10" s="5">
        <v>132109.384518</v>
      </c>
      <c r="E10" s="11">
        <v>32.24539529362949</v>
      </c>
      <c r="F10" s="11">
        <v>18.09058400900474</v>
      </c>
      <c r="G10" s="11">
        <v>1.842369489055675</v>
      </c>
      <c r="H10" s="6">
        <v>0.1040626348560508</v>
      </c>
      <c r="I10" s="6">
        <v>0.3527335342229875</v>
      </c>
      <c r="J10" s="11">
        <v>11.9110202587259</v>
      </c>
    </row>
    <row r="11" spans="1:10">
      <c r="A11" s="2" t="s">
        <v>165</v>
      </c>
      <c r="B11" s="2" t="s">
        <v>160</v>
      </c>
      <c r="C11" s="5">
        <v>63219.73850477999</v>
      </c>
      <c r="D11" s="5">
        <v>75504.74850477999</v>
      </c>
      <c r="E11" s="11">
        <v>13.53859575126053</v>
      </c>
      <c r="F11" s="11">
        <v>25.60540239156743</v>
      </c>
      <c r="G11" s="11">
        <v>3.314272005493053</v>
      </c>
      <c r="H11" s="6">
        <v>0.1345870809484873</v>
      </c>
      <c r="I11" s="6">
        <v>0.1925360767796727</v>
      </c>
      <c r="J11" s="11">
        <v>2.089221803837189</v>
      </c>
    </row>
    <row r="12" spans="1:10">
      <c r="A12" s="2" t="s">
        <v>166</v>
      </c>
      <c r="B12" s="2" t="s">
        <v>167</v>
      </c>
      <c r="C12" s="5">
        <v>36406.144169295</v>
      </c>
      <c r="D12" s="5">
        <v>67334.034169295</v>
      </c>
      <c r="E12" s="11">
        <v>12.11479564039133</v>
      </c>
      <c r="F12" s="11">
        <v>9.659364332527195</v>
      </c>
      <c r="G12" s="11">
        <v>1.691342353974216</v>
      </c>
      <c r="H12" s="6">
        <v>0.1872888093818326</v>
      </c>
      <c r="I12" s="6">
        <v>0.3172555511159313</v>
      </c>
      <c r="J12" s="11">
        <v>4.890003598416697</v>
      </c>
    </row>
    <row r="13" spans="1:10">
      <c r="A13" s="2" t="s">
        <v>168</v>
      </c>
      <c r="B13" s="2" t="s">
        <v>164</v>
      </c>
      <c r="C13" s="5">
        <v>24270.4150008</v>
      </c>
      <c r="D13" s="5">
        <v>54422.8450008</v>
      </c>
      <c r="E13" s="11">
        <v>16.19245611448974</v>
      </c>
      <c r="F13" s="11">
        <v>37.8043847364486</v>
      </c>
      <c r="G13" s="11">
        <v>1.704502774127397</v>
      </c>
      <c r="H13" s="6">
        <v>0.045182630727004</v>
      </c>
      <c r="I13" s="6">
        <v>0.7422703180212014</v>
      </c>
      <c r="J13" s="11">
        <v>8.968179113359119</v>
      </c>
    </row>
    <row r="14" spans="1:10">
      <c r="A14" s="2" t="s">
        <v>169</v>
      </c>
      <c r="B14" s="2" t="s">
        <v>160</v>
      </c>
      <c r="C14" s="5">
        <v>18539.42803398</v>
      </c>
      <c r="D14" s="5">
        <v>35265.42803398</v>
      </c>
      <c r="E14" s="11">
        <v>9.731078375822296</v>
      </c>
      <c r="F14" s="11">
        <v>11.45823735103832</v>
      </c>
      <c r="G14" s="11">
        <v>1.47960319505028</v>
      </c>
      <c r="H14" s="6">
        <v>0.1318663406682966</v>
      </c>
      <c r="I14" s="6">
        <v>0.1951534733441034</v>
      </c>
      <c r="J14" s="11">
        <v>4.433634105960265</v>
      </c>
    </row>
    <row r="15" spans="1:10">
      <c r="A15" s="2" t="s">
        <v>170</v>
      </c>
      <c r="B15" s="2" t="s">
        <v>152</v>
      </c>
      <c r="C15" s="5">
        <v>10876.439158449</v>
      </c>
      <c r="D15" s="5">
        <v>13512.489158449</v>
      </c>
      <c r="E15" s="11">
        <v>9.884776268068032</v>
      </c>
      <c r="F15" s="11">
        <v>24.11627307860089</v>
      </c>
      <c r="G15" s="11">
        <v>0.8542600658536758</v>
      </c>
      <c r="H15" s="6">
        <v>0.0360612481509615</v>
      </c>
      <c r="I15" s="6">
        <v>0.2457307208340823</v>
      </c>
      <c r="J15" s="11">
        <v>1.928346744696416</v>
      </c>
    </row>
    <row r="16" spans="1:10">
      <c r="A16" s="2" t="s">
        <v>171</v>
      </c>
      <c r="B16" s="2" t="s">
        <v>152</v>
      </c>
      <c r="C16" s="5">
        <v>8507.280877061999</v>
      </c>
      <c r="D16" s="5">
        <v>22815.030877062</v>
      </c>
      <c r="E16" s="11">
        <v>9.646947516728121</v>
      </c>
      <c r="G16" s="11">
        <v>0.5303791070487531</v>
      </c>
      <c r="H16" s="6">
        <v>-0.0208172468110078</v>
      </c>
      <c r="I16" s="6">
        <v>0.3103674540682414</v>
      </c>
      <c r="J16" s="11">
        <v>6.049788583509514</v>
      </c>
    </row>
    <row r="17" spans="1:10">
      <c r="A17" s="2" t="s">
        <v>172</v>
      </c>
      <c r="B17" s="2" t="s">
        <v>173</v>
      </c>
      <c r="C17" s="5">
        <v>4590.793050389</v>
      </c>
      <c r="D17" s="5">
        <v>2852.353050389</v>
      </c>
      <c r="E17" s="11">
        <v>3.197705213440583</v>
      </c>
      <c r="F17" s="11">
        <v>6.402779707655509</v>
      </c>
      <c r="G17" s="11">
        <v>0.7675627905682997</v>
      </c>
      <c r="H17" s="6">
        <v>0.1216697777023587</v>
      </c>
      <c r="I17" s="6">
        <v>0.0531870490728042</v>
      </c>
      <c r="J17" s="11">
        <v>-3.15719730941704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53"/>
  <sheetViews>
    <sheetView showGridLines="0" workbookViewId="0"/>
  </sheetViews>
  <sheetFormatPr defaultRowHeight="15"/>
  <cols>
    <col min="1" max="1" width="10.7109375" customWidth="1"/>
    <col min="2" max="2" width="6.7109375" customWidth="1"/>
    <col min="3" max="3" width="30.7109375" customWidth="1"/>
    <col min="4" max="4" width="110.7109375" customWidth="1"/>
    <col min="5" max="17" width="11.7109375" customWidth="1"/>
  </cols>
  <sheetData>
    <row r="1" spans="1:4">
      <c r="A1" s="1" t="s">
        <v>174</v>
      </c>
    </row>
    <row r="3" spans="1:4">
      <c r="A3" s="3" t="s">
        <v>175</v>
      </c>
      <c r="B3" s="3" t="s">
        <v>176</v>
      </c>
      <c r="C3" s="3" t="s">
        <v>177</v>
      </c>
      <c r="D3" s="3" t="s">
        <v>178</v>
      </c>
    </row>
    <row r="4" spans="1:4">
      <c r="A4" s="16" t="s">
        <v>179</v>
      </c>
      <c r="B4" s="16">
        <v>3</v>
      </c>
      <c r="C4" s="16" t="s">
        <v>180</v>
      </c>
      <c r="D4" s="16" t="s">
        <v>181</v>
      </c>
    </row>
    <row r="5" spans="1:4">
      <c r="A5" s="16" t="s">
        <v>179</v>
      </c>
      <c r="B5" s="16">
        <v>7</v>
      </c>
      <c r="C5" s="16" t="s">
        <v>182</v>
      </c>
      <c r="D5" s="16" t="s">
        <v>183</v>
      </c>
    </row>
    <row r="6" spans="1:4">
      <c r="A6" s="16" t="s">
        <v>179</v>
      </c>
      <c r="B6" s="16">
        <v>17</v>
      </c>
      <c r="C6" s="16" t="s">
        <v>184</v>
      </c>
      <c r="D6" s="16" t="s">
        <v>185</v>
      </c>
    </row>
    <row r="7" spans="1:4">
      <c r="A7" s="16" t="s">
        <v>179</v>
      </c>
      <c r="B7" s="16">
        <v>16</v>
      </c>
      <c r="C7" s="16" t="s">
        <v>186</v>
      </c>
      <c r="D7" s="16" t="s">
        <v>187</v>
      </c>
    </row>
    <row r="8" spans="1:4">
      <c r="A8" s="16" t="s">
        <v>179</v>
      </c>
      <c r="B8" s="16">
        <v>16</v>
      </c>
      <c r="C8" s="16" t="s">
        <v>188</v>
      </c>
      <c r="D8" s="16" t="s">
        <v>189</v>
      </c>
    </row>
    <row r="9" spans="1:4">
      <c r="A9" s="16" t="s">
        <v>179</v>
      </c>
      <c r="B9" s="16">
        <v>14</v>
      </c>
      <c r="C9" s="16" t="s">
        <v>190</v>
      </c>
      <c r="D9" s="16" t="s">
        <v>191</v>
      </c>
    </row>
    <row r="10" spans="1:4">
      <c r="A10" s="16" t="s">
        <v>179</v>
      </c>
      <c r="B10" s="16">
        <v>12</v>
      </c>
      <c r="C10" s="16" t="s">
        <v>192</v>
      </c>
      <c r="D10" s="16" t="s">
        <v>193</v>
      </c>
    </row>
    <row r="11" spans="1:4">
      <c r="A11" s="16" t="s">
        <v>179</v>
      </c>
      <c r="B11" s="16">
        <v>10</v>
      </c>
      <c r="C11" s="16" t="s">
        <v>194</v>
      </c>
      <c r="D11" s="16" t="s">
        <v>195</v>
      </c>
    </row>
    <row r="12" spans="1:4">
      <c r="A12" s="16" t="s">
        <v>179</v>
      </c>
      <c r="B12" s="16">
        <v>10</v>
      </c>
      <c r="C12" s="16" t="s">
        <v>196</v>
      </c>
      <c r="D12" s="16" t="s">
        <v>197</v>
      </c>
    </row>
    <row r="13" spans="1:4">
      <c r="A13" s="16" t="s">
        <v>179</v>
      </c>
      <c r="B13" s="16">
        <v>10</v>
      </c>
      <c r="C13" s="16" t="s">
        <v>198</v>
      </c>
      <c r="D13" s="16" t="s">
        <v>199</v>
      </c>
    </row>
    <row r="14" spans="1:4">
      <c r="A14" s="16" t="s">
        <v>179</v>
      </c>
      <c r="B14" s="16">
        <v>9</v>
      </c>
      <c r="C14" s="16" t="s">
        <v>182</v>
      </c>
      <c r="D14" s="16" t="s">
        <v>200</v>
      </c>
    </row>
    <row r="15" spans="1:4">
      <c r="A15" s="16" t="s">
        <v>179</v>
      </c>
      <c r="B15" s="16">
        <v>8</v>
      </c>
      <c r="C15" s="16" t="s">
        <v>201</v>
      </c>
      <c r="D15" s="16" t="s">
        <v>202</v>
      </c>
    </row>
    <row r="16" spans="1:4">
      <c r="A16" s="16" t="s">
        <v>179</v>
      </c>
      <c r="B16" s="16">
        <v>8</v>
      </c>
      <c r="C16" s="16" t="s">
        <v>203</v>
      </c>
      <c r="D16" s="16" t="s">
        <v>204</v>
      </c>
    </row>
    <row r="17" spans="1:4">
      <c r="A17" s="16" t="s">
        <v>179</v>
      </c>
      <c r="B17" s="16">
        <v>8</v>
      </c>
      <c r="C17" s="16" t="s">
        <v>205</v>
      </c>
      <c r="D17" s="16" t="s">
        <v>206</v>
      </c>
    </row>
    <row r="18" spans="1:4">
      <c r="A18" s="16" t="s">
        <v>179</v>
      </c>
      <c r="B18" s="16">
        <v>8</v>
      </c>
      <c r="C18" s="16" t="s">
        <v>182</v>
      </c>
      <c r="D18" s="16" t="s">
        <v>207</v>
      </c>
    </row>
    <row r="19" spans="1:4">
      <c r="A19" s="16" t="s">
        <v>179</v>
      </c>
      <c r="B19" s="16">
        <v>12</v>
      </c>
      <c r="C19" s="16" t="s">
        <v>182</v>
      </c>
      <c r="D19" s="16" t="s">
        <v>208</v>
      </c>
    </row>
    <row r="20" spans="1:4">
      <c r="A20" s="16" t="s">
        <v>179</v>
      </c>
      <c r="B20" s="16">
        <v>7</v>
      </c>
      <c r="C20" s="16" t="s">
        <v>209</v>
      </c>
      <c r="D20" s="16" t="s">
        <v>210</v>
      </c>
    </row>
    <row r="21" spans="1:4">
      <c r="A21" s="16" t="s">
        <v>179</v>
      </c>
      <c r="B21" s="16">
        <v>5</v>
      </c>
      <c r="C21" s="16" t="s">
        <v>211</v>
      </c>
      <c r="D21" s="16" t="s">
        <v>212</v>
      </c>
    </row>
    <row r="22" spans="1:4">
      <c r="A22" s="16" t="s">
        <v>179</v>
      </c>
      <c r="B22" s="16">
        <v>6</v>
      </c>
      <c r="C22" s="16" t="s">
        <v>213</v>
      </c>
      <c r="D22" s="16" t="s">
        <v>214</v>
      </c>
    </row>
    <row r="23" spans="1:4">
      <c r="A23" s="16" t="s">
        <v>179</v>
      </c>
      <c r="B23" s="16">
        <v>3</v>
      </c>
      <c r="C23" s="16" t="s">
        <v>215</v>
      </c>
      <c r="D23" s="16" t="s">
        <v>216</v>
      </c>
    </row>
    <row r="24" spans="1:4">
      <c r="A24" s="16" t="s">
        <v>179</v>
      </c>
      <c r="B24" s="16">
        <v>4</v>
      </c>
      <c r="C24" s="16" t="s">
        <v>217</v>
      </c>
      <c r="D24" s="16" t="s">
        <v>218</v>
      </c>
    </row>
    <row r="25" spans="1:4">
      <c r="A25" s="16" t="s">
        <v>179</v>
      </c>
      <c r="B25" s="16">
        <v>4</v>
      </c>
      <c r="C25" s="16" t="s">
        <v>219</v>
      </c>
      <c r="D25" s="16" t="s">
        <v>220</v>
      </c>
    </row>
    <row r="26" spans="1:4">
      <c r="A26" s="16" t="s">
        <v>179</v>
      </c>
      <c r="B26" s="16">
        <v>5</v>
      </c>
      <c r="C26" s="16" t="s">
        <v>221</v>
      </c>
      <c r="D26" s="16" t="s">
        <v>222</v>
      </c>
    </row>
    <row r="27" spans="1:4">
      <c r="A27" s="16" t="s">
        <v>179</v>
      </c>
      <c r="B27" s="16">
        <v>5</v>
      </c>
      <c r="C27" s="16" t="s">
        <v>223</v>
      </c>
      <c r="D27" s="16" t="s">
        <v>224</v>
      </c>
    </row>
    <row r="28" spans="1:4">
      <c r="A28" s="16" t="s">
        <v>179</v>
      </c>
      <c r="B28" s="16">
        <v>3</v>
      </c>
      <c r="C28" s="16" t="s">
        <v>225</v>
      </c>
      <c r="D28" s="16" t="s">
        <v>226</v>
      </c>
    </row>
    <row r="29" spans="1:4">
      <c r="A29" s="16" t="s">
        <v>179</v>
      </c>
      <c r="B29" s="16">
        <v>5</v>
      </c>
      <c r="C29" s="16" t="s">
        <v>227</v>
      </c>
      <c r="D29" s="16" t="s">
        <v>228</v>
      </c>
    </row>
    <row r="30" spans="1:4">
      <c r="A30" s="16" t="s">
        <v>179</v>
      </c>
      <c r="B30" s="16">
        <v>5</v>
      </c>
      <c r="C30" s="16" t="s">
        <v>182</v>
      </c>
      <c r="D30" s="16" t="s">
        <v>229</v>
      </c>
    </row>
    <row r="31" spans="1:4">
      <c r="A31" s="16" t="s">
        <v>179</v>
      </c>
      <c r="B31" s="16">
        <v>5</v>
      </c>
      <c r="C31" s="16" t="s">
        <v>230</v>
      </c>
      <c r="D31" s="16" t="s">
        <v>231</v>
      </c>
    </row>
    <row r="32" spans="1:4">
      <c r="A32" s="16" t="s">
        <v>179</v>
      </c>
      <c r="B32" s="16">
        <v>5</v>
      </c>
      <c r="C32" s="16" t="s">
        <v>232</v>
      </c>
      <c r="D32" s="16" t="s">
        <v>233</v>
      </c>
    </row>
    <row r="33" spans="1:4">
      <c r="A33" s="16" t="s">
        <v>179</v>
      </c>
      <c r="B33" s="16">
        <v>5</v>
      </c>
      <c r="C33" s="16" t="s">
        <v>234</v>
      </c>
      <c r="D33" s="16" t="s">
        <v>235</v>
      </c>
    </row>
    <row r="34" spans="1:4">
      <c r="A34" s="16" t="s">
        <v>179</v>
      </c>
      <c r="B34" s="16">
        <v>5</v>
      </c>
      <c r="C34" s="16" t="s">
        <v>234</v>
      </c>
      <c r="D34" s="16" t="s">
        <v>236</v>
      </c>
    </row>
    <row r="35" spans="1:4">
      <c r="A35" s="16" t="s">
        <v>237</v>
      </c>
      <c r="B35" s="16">
        <v>7</v>
      </c>
      <c r="C35" s="16" t="s">
        <v>186</v>
      </c>
      <c r="D35" s="16" t="s">
        <v>238</v>
      </c>
    </row>
    <row r="36" spans="1:4">
      <c r="A36" s="16" t="s">
        <v>237</v>
      </c>
      <c r="B36" s="16">
        <v>10</v>
      </c>
      <c r="C36" s="16" t="s">
        <v>239</v>
      </c>
      <c r="D36" s="16" t="s">
        <v>240</v>
      </c>
    </row>
    <row r="37" spans="1:4">
      <c r="A37" s="16" t="s">
        <v>237</v>
      </c>
      <c r="B37" s="16">
        <v>7</v>
      </c>
      <c r="C37" s="16" t="s">
        <v>186</v>
      </c>
      <c r="D37" s="16" t="s">
        <v>241</v>
      </c>
    </row>
    <row r="38" spans="1:4">
      <c r="A38" s="16" t="s">
        <v>237</v>
      </c>
      <c r="B38" s="16">
        <v>7</v>
      </c>
      <c r="C38" s="16" t="s">
        <v>188</v>
      </c>
      <c r="D38" s="16" t="s">
        <v>242</v>
      </c>
    </row>
    <row r="39" spans="1:4">
      <c r="A39" s="16" t="s">
        <v>237</v>
      </c>
      <c r="B39" s="16">
        <v>8</v>
      </c>
      <c r="C39" s="16" t="s">
        <v>243</v>
      </c>
      <c r="D39" s="16" t="s">
        <v>244</v>
      </c>
    </row>
    <row r="40" spans="1:4">
      <c r="A40" s="16" t="s">
        <v>237</v>
      </c>
      <c r="B40" s="16">
        <v>8</v>
      </c>
      <c r="C40" s="16" t="s">
        <v>188</v>
      </c>
      <c r="D40" s="16" t="s">
        <v>245</v>
      </c>
    </row>
    <row r="41" spans="1:4">
      <c r="A41" s="16" t="s">
        <v>237</v>
      </c>
      <c r="B41" s="16">
        <v>8</v>
      </c>
      <c r="C41" s="16" t="s">
        <v>246</v>
      </c>
      <c r="D41" s="16" t="s">
        <v>247</v>
      </c>
    </row>
    <row r="42" spans="1:4">
      <c r="A42" s="16" t="s">
        <v>237</v>
      </c>
      <c r="B42" s="16">
        <v>8</v>
      </c>
      <c r="C42" s="16" t="s">
        <v>186</v>
      </c>
      <c r="D42" s="16" t="s">
        <v>248</v>
      </c>
    </row>
    <row r="43" spans="1:4">
      <c r="A43" s="16" t="s">
        <v>237</v>
      </c>
      <c r="B43" s="16">
        <v>9</v>
      </c>
      <c r="C43" s="16" t="s">
        <v>186</v>
      </c>
      <c r="D43" s="16" t="s">
        <v>249</v>
      </c>
    </row>
    <row r="44" spans="1:4">
      <c r="A44" s="16" t="s">
        <v>237</v>
      </c>
      <c r="B44" s="16">
        <v>12</v>
      </c>
      <c r="C44" s="16" t="s">
        <v>250</v>
      </c>
      <c r="D44" s="16" t="s">
        <v>251</v>
      </c>
    </row>
    <row r="45" spans="1:4">
      <c r="A45" s="16" t="s">
        <v>237</v>
      </c>
      <c r="B45" s="16">
        <v>10</v>
      </c>
      <c r="C45" s="16" t="s">
        <v>252</v>
      </c>
      <c r="D45" s="16" t="s">
        <v>253</v>
      </c>
    </row>
    <row r="46" spans="1:4">
      <c r="A46" s="16" t="s">
        <v>237</v>
      </c>
      <c r="B46" s="16">
        <v>11</v>
      </c>
      <c r="C46" s="16" t="s">
        <v>254</v>
      </c>
      <c r="D46" s="16" t="s">
        <v>255</v>
      </c>
    </row>
    <row r="47" spans="1:4">
      <c r="A47" s="16" t="s">
        <v>237</v>
      </c>
      <c r="B47" s="16">
        <v>11</v>
      </c>
      <c r="C47" s="16" t="s">
        <v>256</v>
      </c>
      <c r="D47" s="16" t="s">
        <v>257</v>
      </c>
    </row>
    <row r="48" spans="1:4">
      <c r="A48" s="16" t="s">
        <v>237</v>
      </c>
      <c r="B48" s="16">
        <v>13</v>
      </c>
      <c r="C48" s="16" t="s">
        <v>258</v>
      </c>
      <c r="D48" s="16" t="s">
        <v>259</v>
      </c>
    </row>
    <row r="49" spans="1:4">
      <c r="A49" s="16" t="s">
        <v>237</v>
      </c>
      <c r="B49" s="16">
        <v>14</v>
      </c>
      <c r="C49" s="16" t="s">
        <v>260</v>
      </c>
      <c r="D49" s="16" t="s">
        <v>261</v>
      </c>
    </row>
    <row r="50" spans="1:4">
      <c r="A50" s="16" t="s">
        <v>237</v>
      </c>
      <c r="B50" s="16">
        <v>15</v>
      </c>
      <c r="C50" s="16" t="s">
        <v>186</v>
      </c>
      <c r="D50" s="16" t="s">
        <v>262</v>
      </c>
    </row>
    <row r="51" spans="1:4">
      <c r="A51" s="16" t="s">
        <v>237</v>
      </c>
      <c r="B51" s="16">
        <v>15</v>
      </c>
      <c r="C51" s="16" t="s">
        <v>209</v>
      </c>
      <c r="D51" s="16" t="s">
        <v>263</v>
      </c>
    </row>
    <row r="52" spans="1:4">
      <c r="A52" s="16" t="s">
        <v>237</v>
      </c>
      <c r="B52" s="16">
        <v>17</v>
      </c>
      <c r="C52" s="16" t="s">
        <v>186</v>
      </c>
      <c r="D52" s="16" t="s">
        <v>264</v>
      </c>
    </row>
    <row r="53" spans="1:4">
      <c r="A53" s="16" t="s">
        <v>237</v>
      </c>
      <c r="B53" s="16">
        <v>15</v>
      </c>
      <c r="C53" s="16" t="s">
        <v>186</v>
      </c>
      <c r="D53" s="16" t="s">
        <v>265</v>
      </c>
    </row>
    <row r="54" spans="1:4">
      <c r="A54" s="16" t="s">
        <v>237</v>
      </c>
      <c r="B54" s="16">
        <v>7</v>
      </c>
      <c r="C54" s="16" t="s">
        <v>266</v>
      </c>
      <c r="D54" s="16" t="s">
        <v>267</v>
      </c>
    </row>
    <row r="55" spans="1:4">
      <c r="A55" s="16" t="s">
        <v>237</v>
      </c>
      <c r="B55" s="16">
        <v>6</v>
      </c>
      <c r="C55" s="16" t="s">
        <v>268</v>
      </c>
      <c r="D55" s="16" t="s">
        <v>269</v>
      </c>
    </row>
    <row r="56" spans="1:4">
      <c r="A56" s="16" t="s">
        <v>237</v>
      </c>
      <c r="B56" s="16">
        <v>4</v>
      </c>
      <c r="C56" s="16" t="s">
        <v>270</v>
      </c>
      <c r="D56" s="16" t="s">
        <v>271</v>
      </c>
    </row>
    <row r="57" spans="1:4">
      <c r="A57" s="16" t="s">
        <v>237</v>
      </c>
      <c r="B57" s="16">
        <v>5</v>
      </c>
      <c r="C57" s="16" t="s">
        <v>272</v>
      </c>
      <c r="D57" s="16" t="s">
        <v>273</v>
      </c>
    </row>
    <row r="58" spans="1:4">
      <c r="A58" s="16" t="s">
        <v>237</v>
      </c>
      <c r="B58" s="16">
        <v>3</v>
      </c>
      <c r="C58" s="16" t="s">
        <v>274</v>
      </c>
      <c r="D58" s="16" t="s">
        <v>275</v>
      </c>
    </row>
    <row r="59" spans="1:4">
      <c r="A59" s="16" t="s">
        <v>237</v>
      </c>
      <c r="B59" s="16">
        <v>3</v>
      </c>
      <c r="C59" s="16" t="s">
        <v>276</v>
      </c>
      <c r="D59" s="16" t="s">
        <v>277</v>
      </c>
    </row>
    <row r="60" spans="1:4">
      <c r="A60" s="16" t="s">
        <v>237</v>
      </c>
      <c r="B60" s="16">
        <v>4</v>
      </c>
      <c r="C60" s="16" t="s">
        <v>278</v>
      </c>
      <c r="D60" s="16" t="s">
        <v>279</v>
      </c>
    </row>
    <row r="61" spans="1:4">
      <c r="A61" s="16" t="s">
        <v>237</v>
      </c>
      <c r="B61" s="16">
        <v>4</v>
      </c>
      <c r="C61" s="16" t="s">
        <v>280</v>
      </c>
      <c r="D61" s="16" t="s">
        <v>281</v>
      </c>
    </row>
    <row r="62" spans="1:4">
      <c r="A62" s="16" t="s">
        <v>237</v>
      </c>
      <c r="B62" s="16">
        <v>4</v>
      </c>
      <c r="C62" s="16" t="s">
        <v>282</v>
      </c>
      <c r="D62" s="16" t="s">
        <v>283</v>
      </c>
    </row>
    <row r="63" spans="1:4">
      <c r="A63" s="16" t="s">
        <v>237</v>
      </c>
      <c r="B63" s="16">
        <v>4</v>
      </c>
      <c r="C63" s="16" t="s">
        <v>284</v>
      </c>
      <c r="D63" s="16" t="s">
        <v>285</v>
      </c>
    </row>
    <row r="64" spans="1:4">
      <c r="A64" s="16" t="s">
        <v>237</v>
      </c>
      <c r="B64" s="16">
        <v>4</v>
      </c>
      <c r="C64" s="16" t="s">
        <v>182</v>
      </c>
      <c r="D64" s="16" t="s">
        <v>286</v>
      </c>
    </row>
    <row r="65" spans="1:4">
      <c r="A65" s="16" t="s">
        <v>237</v>
      </c>
      <c r="B65" s="16">
        <v>4</v>
      </c>
      <c r="C65" s="16" t="s">
        <v>287</v>
      </c>
      <c r="D65" s="16" t="s">
        <v>288</v>
      </c>
    </row>
    <row r="66" spans="1:4">
      <c r="A66" s="16" t="s">
        <v>237</v>
      </c>
      <c r="B66" s="16">
        <v>4</v>
      </c>
      <c r="C66" s="16" t="s">
        <v>289</v>
      </c>
      <c r="D66" s="16" t="s">
        <v>290</v>
      </c>
    </row>
    <row r="67" spans="1:4">
      <c r="A67" s="16" t="s">
        <v>237</v>
      </c>
      <c r="B67" s="16">
        <v>5</v>
      </c>
      <c r="C67" s="16" t="s">
        <v>291</v>
      </c>
      <c r="D67" s="16" t="s">
        <v>292</v>
      </c>
    </row>
    <row r="68" spans="1:4">
      <c r="A68" s="16" t="s">
        <v>237</v>
      </c>
      <c r="B68" s="16">
        <v>5</v>
      </c>
      <c r="C68" s="16" t="s">
        <v>293</v>
      </c>
      <c r="D68" s="16" t="s">
        <v>294</v>
      </c>
    </row>
    <row r="69" spans="1:4">
      <c r="A69" s="16" t="s">
        <v>237</v>
      </c>
      <c r="B69" s="16">
        <v>5</v>
      </c>
      <c r="C69" s="16" t="s">
        <v>295</v>
      </c>
      <c r="D69" s="16" t="s">
        <v>296</v>
      </c>
    </row>
    <row r="70" spans="1:4">
      <c r="A70" s="16" t="s">
        <v>237</v>
      </c>
      <c r="B70" s="16">
        <v>5</v>
      </c>
      <c r="C70" s="16" t="s">
        <v>297</v>
      </c>
      <c r="D70" s="16" t="s">
        <v>298</v>
      </c>
    </row>
    <row r="71" spans="1:4">
      <c r="A71" s="16" t="s">
        <v>237</v>
      </c>
      <c r="B71" s="16">
        <v>5</v>
      </c>
      <c r="C71" s="16" t="s">
        <v>299</v>
      </c>
      <c r="D71" s="16" t="s">
        <v>300</v>
      </c>
    </row>
    <row r="72" spans="1:4">
      <c r="A72" s="16" t="s">
        <v>237</v>
      </c>
      <c r="B72" s="16">
        <v>4</v>
      </c>
      <c r="C72" s="16" t="s">
        <v>239</v>
      </c>
      <c r="D72" s="16" t="s">
        <v>301</v>
      </c>
    </row>
    <row r="73" spans="1:4">
      <c r="A73" s="16" t="s">
        <v>237</v>
      </c>
      <c r="B73" s="16">
        <v>5</v>
      </c>
      <c r="C73" s="16" t="s">
        <v>302</v>
      </c>
      <c r="D73" s="16" t="s">
        <v>303</v>
      </c>
    </row>
    <row r="74" spans="1:4">
      <c r="A74" s="16" t="s">
        <v>304</v>
      </c>
      <c r="B74" s="16">
        <v>10</v>
      </c>
      <c r="C74" s="16" t="s">
        <v>186</v>
      </c>
      <c r="D74" s="16" t="s">
        <v>305</v>
      </c>
    </row>
    <row r="75" spans="1:4">
      <c r="A75" s="16" t="s">
        <v>304</v>
      </c>
      <c r="B75" s="16">
        <v>10</v>
      </c>
      <c r="C75" s="16" t="s">
        <v>306</v>
      </c>
      <c r="D75" s="16" t="s">
        <v>307</v>
      </c>
    </row>
    <row r="76" spans="1:4">
      <c r="A76" s="16" t="s">
        <v>304</v>
      </c>
      <c r="B76" s="16">
        <v>10</v>
      </c>
      <c r="C76" s="16" t="s">
        <v>308</v>
      </c>
      <c r="D76" s="16" t="s">
        <v>309</v>
      </c>
    </row>
    <row r="77" spans="1:4">
      <c r="A77" s="16" t="s">
        <v>304</v>
      </c>
      <c r="B77" s="16">
        <v>10</v>
      </c>
      <c r="C77" s="16" t="s">
        <v>310</v>
      </c>
      <c r="D77" s="16" t="s">
        <v>311</v>
      </c>
    </row>
    <row r="78" spans="1:4">
      <c r="A78" s="16" t="s">
        <v>304</v>
      </c>
      <c r="B78" s="16">
        <v>15</v>
      </c>
      <c r="C78" s="16" t="s">
        <v>312</v>
      </c>
      <c r="D78" s="16" t="s">
        <v>313</v>
      </c>
    </row>
    <row r="79" spans="1:4">
      <c r="A79" s="16" t="s">
        <v>304</v>
      </c>
      <c r="B79" s="16">
        <v>11</v>
      </c>
      <c r="C79" s="16" t="s">
        <v>314</v>
      </c>
      <c r="D79" s="16" t="s">
        <v>315</v>
      </c>
    </row>
    <row r="80" spans="1:4">
      <c r="A80" s="16" t="s">
        <v>304</v>
      </c>
      <c r="B80" s="16">
        <v>15</v>
      </c>
      <c r="C80" s="16" t="s">
        <v>316</v>
      </c>
      <c r="D80" s="16" t="s">
        <v>317</v>
      </c>
    </row>
    <row r="81" spans="1:4">
      <c r="A81" s="16" t="s">
        <v>304</v>
      </c>
      <c r="B81" s="16">
        <v>15</v>
      </c>
      <c r="C81" s="16" t="s">
        <v>316</v>
      </c>
      <c r="D81" s="16" t="s">
        <v>318</v>
      </c>
    </row>
    <row r="82" spans="1:4">
      <c r="A82" s="16" t="s">
        <v>304</v>
      </c>
      <c r="B82" s="16">
        <v>16</v>
      </c>
      <c r="C82" s="16" t="s">
        <v>319</v>
      </c>
      <c r="D82" s="16" t="s">
        <v>320</v>
      </c>
    </row>
    <row r="83" spans="1:4">
      <c r="A83" s="16" t="s">
        <v>304</v>
      </c>
      <c r="B83" s="16">
        <v>9</v>
      </c>
      <c r="C83" s="16" t="s">
        <v>321</v>
      </c>
      <c r="D83" s="16" t="s">
        <v>322</v>
      </c>
    </row>
    <row r="84" spans="1:4">
      <c r="A84" s="16" t="s">
        <v>304</v>
      </c>
      <c r="B84" s="16">
        <v>10</v>
      </c>
      <c r="C84" s="16" t="s">
        <v>310</v>
      </c>
      <c r="D84" s="16" t="s">
        <v>323</v>
      </c>
    </row>
    <row r="85" spans="1:4">
      <c r="A85" s="16" t="s">
        <v>304</v>
      </c>
      <c r="B85" s="16">
        <v>8</v>
      </c>
      <c r="C85" s="16" t="s">
        <v>324</v>
      </c>
      <c r="D85" s="16" t="s">
        <v>325</v>
      </c>
    </row>
    <row r="86" spans="1:4">
      <c r="A86" s="16" t="s">
        <v>304</v>
      </c>
      <c r="B86" s="16">
        <v>9</v>
      </c>
      <c r="C86" s="16" t="s">
        <v>310</v>
      </c>
      <c r="D86" s="16" t="s">
        <v>326</v>
      </c>
    </row>
    <row r="87" spans="1:4">
      <c r="A87" s="16" t="s">
        <v>304</v>
      </c>
      <c r="B87" s="16">
        <v>8</v>
      </c>
      <c r="C87" s="16" t="s">
        <v>327</v>
      </c>
      <c r="D87" s="16" t="s">
        <v>328</v>
      </c>
    </row>
    <row r="88" spans="1:4">
      <c r="A88" s="16" t="s">
        <v>304</v>
      </c>
      <c r="B88" s="16">
        <v>8</v>
      </c>
      <c r="C88" s="16" t="s">
        <v>329</v>
      </c>
      <c r="D88" s="16" t="s">
        <v>330</v>
      </c>
    </row>
    <row r="89" spans="1:4">
      <c r="A89" s="16" t="s">
        <v>304</v>
      </c>
      <c r="B89" s="16">
        <v>6</v>
      </c>
      <c r="C89" s="16" t="s">
        <v>331</v>
      </c>
      <c r="D89" s="16" t="s">
        <v>332</v>
      </c>
    </row>
    <row r="90" spans="1:4">
      <c r="A90" s="16" t="s">
        <v>304</v>
      </c>
      <c r="B90" s="16">
        <v>6</v>
      </c>
      <c r="C90" s="16" t="s">
        <v>333</v>
      </c>
      <c r="D90" s="16" t="s">
        <v>334</v>
      </c>
    </row>
    <row r="91" spans="1:4">
      <c r="A91" s="16" t="s">
        <v>304</v>
      </c>
      <c r="B91" s="16">
        <v>5</v>
      </c>
      <c r="C91" s="16" t="s">
        <v>335</v>
      </c>
      <c r="D91" s="16" t="s">
        <v>336</v>
      </c>
    </row>
    <row r="92" spans="1:4">
      <c r="A92" s="16" t="s">
        <v>304</v>
      </c>
      <c r="B92" s="16">
        <v>5</v>
      </c>
      <c r="C92" s="16" t="s">
        <v>337</v>
      </c>
      <c r="D92" s="16" t="s">
        <v>338</v>
      </c>
    </row>
    <row r="93" spans="1:4">
      <c r="A93" s="16" t="s">
        <v>304</v>
      </c>
      <c r="B93" s="16">
        <v>4</v>
      </c>
      <c r="C93" s="16" t="s">
        <v>339</v>
      </c>
      <c r="D93" s="16" t="s">
        <v>340</v>
      </c>
    </row>
    <row r="94" spans="1:4">
      <c r="A94" s="16" t="s">
        <v>304</v>
      </c>
      <c r="B94" s="16">
        <v>4</v>
      </c>
      <c r="C94" s="16" t="s">
        <v>341</v>
      </c>
      <c r="D94" s="16" t="s">
        <v>342</v>
      </c>
    </row>
    <row r="95" spans="1:4">
      <c r="A95" s="16" t="s">
        <v>304</v>
      </c>
      <c r="B95" s="16">
        <v>8</v>
      </c>
      <c r="C95" s="16" t="s">
        <v>324</v>
      </c>
      <c r="D95" s="16" t="s">
        <v>343</v>
      </c>
    </row>
    <row r="96" spans="1:4">
      <c r="A96" s="16" t="s">
        <v>344</v>
      </c>
      <c r="B96" s="16">
        <v>10</v>
      </c>
      <c r="C96" s="16" t="s">
        <v>345</v>
      </c>
      <c r="D96" s="16" t="s">
        <v>346</v>
      </c>
    </row>
    <row r="97" spans="1:4">
      <c r="A97" s="16" t="s">
        <v>344</v>
      </c>
      <c r="B97" s="16">
        <v>6</v>
      </c>
      <c r="C97" s="16" t="s">
        <v>347</v>
      </c>
      <c r="D97" s="16" t="s">
        <v>348</v>
      </c>
    </row>
    <row r="98" spans="1:4">
      <c r="A98" s="16" t="s">
        <v>344</v>
      </c>
      <c r="B98" s="16">
        <v>7</v>
      </c>
      <c r="C98" s="16" t="s">
        <v>349</v>
      </c>
      <c r="D98" s="16" t="s">
        <v>350</v>
      </c>
    </row>
    <row r="99" spans="1:4">
      <c r="A99" s="16" t="s">
        <v>344</v>
      </c>
      <c r="B99" s="16">
        <v>10</v>
      </c>
      <c r="C99" s="16" t="s">
        <v>351</v>
      </c>
      <c r="D99" s="16" t="s">
        <v>352</v>
      </c>
    </row>
    <row r="100" spans="1:4">
      <c r="A100" s="16" t="s">
        <v>344</v>
      </c>
      <c r="B100" s="16">
        <v>10</v>
      </c>
      <c r="C100" s="16" t="s">
        <v>314</v>
      </c>
      <c r="D100" s="16" t="s">
        <v>353</v>
      </c>
    </row>
    <row r="101" spans="1:4">
      <c r="A101" s="16" t="s">
        <v>344</v>
      </c>
      <c r="B101" s="16">
        <v>18</v>
      </c>
      <c r="C101" s="16" t="s">
        <v>354</v>
      </c>
      <c r="D101" s="16" t="s">
        <v>355</v>
      </c>
    </row>
    <row r="102" spans="1:4">
      <c r="A102" s="16" t="s">
        <v>344</v>
      </c>
      <c r="B102" s="16">
        <v>10</v>
      </c>
      <c r="C102" s="16" t="s">
        <v>356</v>
      </c>
      <c r="D102" s="16" t="s">
        <v>357</v>
      </c>
    </row>
    <row r="103" spans="1:4">
      <c r="A103" s="16" t="s">
        <v>344</v>
      </c>
      <c r="B103" s="16">
        <v>11</v>
      </c>
      <c r="C103" s="16" t="s">
        <v>358</v>
      </c>
      <c r="D103" s="16" t="s">
        <v>359</v>
      </c>
    </row>
    <row r="104" spans="1:4">
      <c r="A104" s="16" t="s">
        <v>344</v>
      </c>
      <c r="B104" s="16">
        <v>14</v>
      </c>
      <c r="C104" s="16" t="s">
        <v>360</v>
      </c>
      <c r="D104" s="16" t="s">
        <v>361</v>
      </c>
    </row>
    <row r="105" spans="1:4">
      <c r="A105" s="16" t="s">
        <v>344</v>
      </c>
      <c r="B105" s="16">
        <v>14</v>
      </c>
      <c r="C105" s="16" t="s">
        <v>362</v>
      </c>
      <c r="D105" s="16" t="s">
        <v>363</v>
      </c>
    </row>
    <row r="106" spans="1:4">
      <c r="A106" s="16" t="s">
        <v>344</v>
      </c>
      <c r="B106" s="16">
        <v>6</v>
      </c>
      <c r="C106" s="16" t="s">
        <v>364</v>
      </c>
      <c r="D106" s="16" t="s">
        <v>365</v>
      </c>
    </row>
    <row r="107" spans="1:4">
      <c r="A107" s="16" t="s">
        <v>344</v>
      </c>
      <c r="B107" s="16">
        <v>6</v>
      </c>
      <c r="C107" s="16" t="s">
        <v>239</v>
      </c>
      <c r="D107" s="16" t="s">
        <v>366</v>
      </c>
    </row>
    <row r="108" spans="1:4">
      <c r="A108" s="16" t="s">
        <v>344</v>
      </c>
      <c r="B108" s="16">
        <v>6</v>
      </c>
      <c r="C108" s="16" t="s">
        <v>367</v>
      </c>
      <c r="D108" s="16" t="s">
        <v>368</v>
      </c>
    </row>
    <row r="109" spans="1:4">
      <c r="A109" s="16" t="s">
        <v>344</v>
      </c>
      <c r="B109" s="16">
        <v>5</v>
      </c>
      <c r="C109" s="16" t="s">
        <v>369</v>
      </c>
      <c r="D109" s="16" t="s">
        <v>370</v>
      </c>
    </row>
    <row r="110" spans="1:4">
      <c r="A110" s="16" t="s">
        <v>344</v>
      </c>
      <c r="B110" s="16">
        <v>6</v>
      </c>
      <c r="C110" s="16" t="s">
        <v>371</v>
      </c>
      <c r="D110" s="16" t="s">
        <v>372</v>
      </c>
    </row>
    <row r="111" spans="1:4">
      <c r="A111" s="16" t="s">
        <v>344</v>
      </c>
      <c r="B111" s="16">
        <v>3</v>
      </c>
      <c r="C111" s="16" t="s">
        <v>373</v>
      </c>
      <c r="D111" s="16" t="s">
        <v>374</v>
      </c>
    </row>
    <row r="112" spans="1:4">
      <c r="A112" s="16" t="s">
        <v>344</v>
      </c>
      <c r="B112" s="16">
        <v>3</v>
      </c>
      <c r="C112" s="16" t="s">
        <v>375</v>
      </c>
      <c r="D112" s="16" t="s">
        <v>376</v>
      </c>
    </row>
    <row r="113" spans="1:4">
      <c r="A113" s="16" t="s">
        <v>344</v>
      </c>
      <c r="B113" s="16">
        <v>4</v>
      </c>
      <c r="C113" s="16" t="s">
        <v>377</v>
      </c>
      <c r="D113" s="16" t="s">
        <v>378</v>
      </c>
    </row>
    <row r="114" spans="1:4">
      <c r="A114" s="16" t="s">
        <v>344</v>
      </c>
      <c r="B114" s="16">
        <v>4</v>
      </c>
      <c r="C114" s="16" t="s">
        <v>379</v>
      </c>
      <c r="D114" s="16" t="s">
        <v>380</v>
      </c>
    </row>
    <row r="115" spans="1:4">
      <c r="A115" s="16" t="s">
        <v>344</v>
      </c>
      <c r="B115" s="16">
        <v>5</v>
      </c>
      <c r="C115" s="16" t="s">
        <v>381</v>
      </c>
      <c r="D115" s="16" t="s">
        <v>382</v>
      </c>
    </row>
    <row r="116" spans="1:4">
      <c r="A116" s="16" t="s">
        <v>344</v>
      </c>
      <c r="B116" s="16">
        <v>5</v>
      </c>
      <c r="C116" s="16" t="s">
        <v>287</v>
      </c>
      <c r="D116" s="16" t="s">
        <v>383</v>
      </c>
    </row>
    <row r="117" spans="1:4">
      <c r="A117" s="16" t="s">
        <v>344</v>
      </c>
      <c r="B117" s="16">
        <v>5</v>
      </c>
      <c r="C117" s="16" t="s">
        <v>384</v>
      </c>
      <c r="D117" s="16" t="s">
        <v>385</v>
      </c>
    </row>
    <row r="118" spans="1:4">
      <c r="A118" s="16" t="s">
        <v>344</v>
      </c>
      <c r="B118" s="16">
        <v>5</v>
      </c>
      <c r="C118" s="16" t="s">
        <v>386</v>
      </c>
      <c r="D118" s="16" t="s">
        <v>387</v>
      </c>
    </row>
    <row r="119" spans="1:4">
      <c r="A119" s="16" t="s">
        <v>388</v>
      </c>
      <c r="B119" s="16">
        <v>13</v>
      </c>
      <c r="C119" s="16" t="s">
        <v>389</v>
      </c>
      <c r="D119" s="16" t="s">
        <v>390</v>
      </c>
    </row>
    <row r="120" spans="1:4">
      <c r="A120" s="16" t="s">
        <v>388</v>
      </c>
      <c r="B120" s="16">
        <v>10</v>
      </c>
      <c r="C120" s="16" t="s">
        <v>391</v>
      </c>
      <c r="D120" s="16" t="s">
        <v>392</v>
      </c>
    </row>
    <row r="121" spans="1:4">
      <c r="A121" s="16" t="s">
        <v>388</v>
      </c>
      <c r="B121" s="16">
        <v>10</v>
      </c>
      <c r="C121" s="16" t="s">
        <v>393</v>
      </c>
      <c r="D121" s="16" t="s">
        <v>394</v>
      </c>
    </row>
    <row r="122" spans="1:4">
      <c r="A122" s="16" t="s">
        <v>388</v>
      </c>
      <c r="B122" s="16">
        <v>10</v>
      </c>
      <c r="C122" s="16" t="s">
        <v>395</v>
      </c>
      <c r="D122" s="16" t="s">
        <v>396</v>
      </c>
    </row>
    <row r="123" spans="1:4">
      <c r="A123" s="16" t="s">
        <v>388</v>
      </c>
      <c r="B123" s="16">
        <v>10</v>
      </c>
      <c r="C123" s="16" t="s">
        <v>397</v>
      </c>
      <c r="D123" s="16" t="s">
        <v>398</v>
      </c>
    </row>
    <row r="124" spans="1:4">
      <c r="A124" s="16" t="s">
        <v>388</v>
      </c>
      <c r="B124" s="16">
        <v>12</v>
      </c>
      <c r="C124" s="16" t="s">
        <v>399</v>
      </c>
      <c r="D124" s="16" t="s">
        <v>400</v>
      </c>
    </row>
    <row r="125" spans="1:4">
      <c r="A125" s="16" t="s">
        <v>388</v>
      </c>
      <c r="B125" s="16">
        <v>17</v>
      </c>
      <c r="C125" s="16" t="s">
        <v>401</v>
      </c>
      <c r="D125" s="16" t="s">
        <v>402</v>
      </c>
    </row>
    <row r="126" spans="1:4">
      <c r="A126" s="16" t="s">
        <v>388</v>
      </c>
      <c r="B126" s="16">
        <v>14</v>
      </c>
      <c r="C126" s="16" t="s">
        <v>403</v>
      </c>
      <c r="D126" s="16" t="s">
        <v>404</v>
      </c>
    </row>
    <row r="127" spans="1:4">
      <c r="A127" s="16" t="s">
        <v>388</v>
      </c>
      <c r="B127" s="16">
        <v>14</v>
      </c>
      <c r="C127" s="16" t="s">
        <v>405</v>
      </c>
      <c r="D127" s="16" t="s">
        <v>406</v>
      </c>
    </row>
    <row r="128" spans="1:4">
      <c r="A128" s="16" t="s">
        <v>388</v>
      </c>
      <c r="B128" s="16">
        <v>15</v>
      </c>
      <c r="C128" s="16" t="s">
        <v>407</v>
      </c>
      <c r="D128" s="16" t="s">
        <v>408</v>
      </c>
    </row>
    <row r="129" spans="1:4">
      <c r="A129" s="16" t="s">
        <v>388</v>
      </c>
      <c r="B129" s="16">
        <v>16</v>
      </c>
      <c r="C129" s="16" t="s">
        <v>234</v>
      </c>
      <c r="D129" s="16" t="s">
        <v>409</v>
      </c>
    </row>
    <row r="130" spans="1:4">
      <c r="A130" s="16" t="s">
        <v>388</v>
      </c>
      <c r="B130" s="16">
        <v>16</v>
      </c>
      <c r="C130" s="16" t="s">
        <v>410</v>
      </c>
      <c r="D130" s="16" t="s">
        <v>411</v>
      </c>
    </row>
    <row r="131" spans="1:4">
      <c r="A131" s="16" t="s">
        <v>388</v>
      </c>
      <c r="B131" s="16">
        <v>9</v>
      </c>
      <c r="C131" s="16" t="s">
        <v>412</v>
      </c>
      <c r="D131" s="16" t="s">
        <v>413</v>
      </c>
    </row>
    <row r="132" spans="1:4">
      <c r="A132" s="16" t="s">
        <v>388</v>
      </c>
      <c r="B132" s="16">
        <v>9</v>
      </c>
      <c r="C132" s="16" t="s">
        <v>412</v>
      </c>
      <c r="D132" s="16" t="s">
        <v>414</v>
      </c>
    </row>
    <row r="133" spans="1:4">
      <c r="A133" s="16" t="s">
        <v>388</v>
      </c>
      <c r="B133" s="16">
        <v>9</v>
      </c>
      <c r="C133" s="16" t="s">
        <v>415</v>
      </c>
      <c r="D133" s="16" t="s">
        <v>416</v>
      </c>
    </row>
    <row r="134" spans="1:4">
      <c r="A134" s="16" t="s">
        <v>388</v>
      </c>
      <c r="B134" s="16">
        <v>9</v>
      </c>
      <c r="C134" s="16" t="s">
        <v>417</v>
      </c>
      <c r="D134" s="16" t="s">
        <v>418</v>
      </c>
    </row>
    <row r="135" spans="1:4">
      <c r="A135" s="16" t="s">
        <v>388</v>
      </c>
      <c r="B135" s="16">
        <v>5</v>
      </c>
      <c r="C135" s="16" t="s">
        <v>419</v>
      </c>
      <c r="D135" s="16" t="s">
        <v>420</v>
      </c>
    </row>
    <row r="136" spans="1:4">
      <c r="A136" s="16" t="s">
        <v>388</v>
      </c>
      <c r="B136" s="16">
        <v>3</v>
      </c>
      <c r="C136" s="16" t="s">
        <v>421</v>
      </c>
      <c r="D136" s="16" t="s">
        <v>422</v>
      </c>
    </row>
    <row r="137" spans="1:4">
      <c r="A137" s="16" t="s">
        <v>388</v>
      </c>
      <c r="B137" s="16">
        <v>5</v>
      </c>
      <c r="C137" s="16" t="s">
        <v>423</v>
      </c>
      <c r="D137" s="16" t="s">
        <v>424</v>
      </c>
    </row>
    <row r="138" spans="1:4">
      <c r="A138" s="16" t="s">
        <v>388</v>
      </c>
      <c r="B138" s="16">
        <v>5</v>
      </c>
      <c r="C138" s="16" t="s">
        <v>425</v>
      </c>
      <c r="D138" s="16" t="s">
        <v>426</v>
      </c>
    </row>
    <row r="139" spans="1:4">
      <c r="A139" s="16" t="s">
        <v>388</v>
      </c>
      <c r="B139" s="16">
        <v>5</v>
      </c>
      <c r="C139" s="16" t="s">
        <v>427</v>
      </c>
      <c r="D139" s="16" t="s">
        <v>428</v>
      </c>
    </row>
    <row r="140" spans="1:4">
      <c r="A140" s="16" t="s">
        <v>388</v>
      </c>
      <c r="B140" s="16">
        <v>5</v>
      </c>
      <c r="C140" s="16" t="s">
        <v>429</v>
      </c>
      <c r="D140" s="16" t="s">
        <v>430</v>
      </c>
    </row>
    <row r="141" spans="1:4">
      <c r="A141" s="16" t="s">
        <v>388</v>
      </c>
      <c r="B141" s="16">
        <v>5</v>
      </c>
      <c r="C141" s="16" t="s">
        <v>431</v>
      </c>
      <c r="D141" s="16" t="s">
        <v>432</v>
      </c>
    </row>
    <row r="142" spans="1:4">
      <c r="A142" s="16" t="s">
        <v>388</v>
      </c>
      <c r="B142" s="16">
        <v>4</v>
      </c>
      <c r="C142" s="16" t="s">
        <v>433</v>
      </c>
      <c r="D142" s="16" t="s">
        <v>434</v>
      </c>
    </row>
    <row r="143" spans="1:4">
      <c r="A143" s="16" t="s">
        <v>388</v>
      </c>
      <c r="B143" s="16">
        <v>6</v>
      </c>
      <c r="C143" s="16" t="s">
        <v>435</v>
      </c>
      <c r="D143" s="16" t="s">
        <v>436</v>
      </c>
    </row>
    <row r="144" spans="1:4">
      <c r="A144" s="16" t="s">
        <v>388</v>
      </c>
      <c r="B144" s="16">
        <v>6</v>
      </c>
      <c r="C144" s="16" t="s">
        <v>437</v>
      </c>
      <c r="D144" s="16" t="s">
        <v>438</v>
      </c>
    </row>
    <row r="145" spans="1:4">
      <c r="A145" s="16" t="s">
        <v>388</v>
      </c>
      <c r="B145" s="16">
        <v>7</v>
      </c>
      <c r="C145" s="16" t="s">
        <v>439</v>
      </c>
      <c r="D145" s="16" t="s">
        <v>440</v>
      </c>
    </row>
    <row r="146" spans="1:4">
      <c r="A146" s="16" t="s">
        <v>388</v>
      </c>
      <c r="B146" s="16">
        <v>9</v>
      </c>
      <c r="C146" s="16" t="s">
        <v>441</v>
      </c>
      <c r="D146" s="16" t="s">
        <v>442</v>
      </c>
    </row>
    <row r="147" spans="1:4">
      <c r="A147" s="16" t="s">
        <v>388</v>
      </c>
      <c r="B147" s="16">
        <v>9</v>
      </c>
      <c r="C147" s="16" t="s">
        <v>443</v>
      </c>
      <c r="D147" s="16" t="s">
        <v>444</v>
      </c>
    </row>
    <row r="148" spans="1:4">
      <c r="A148" s="16" t="s">
        <v>388</v>
      </c>
      <c r="B148" s="16">
        <v>6</v>
      </c>
      <c r="C148" s="16" t="s">
        <v>239</v>
      </c>
      <c r="D148" s="16" t="s">
        <v>445</v>
      </c>
    </row>
    <row r="149" spans="1:4">
      <c r="A149" s="16" t="s">
        <v>446</v>
      </c>
      <c r="B149" s="16">
        <v>19</v>
      </c>
      <c r="C149" s="16" t="s">
        <v>447</v>
      </c>
      <c r="D149" s="16" t="s">
        <v>448</v>
      </c>
    </row>
    <row r="150" spans="1:4">
      <c r="A150" s="16" t="s">
        <v>446</v>
      </c>
      <c r="B150" s="16">
        <v>14</v>
      </c>
      <c r="C150" s="16" t="s">
        <v>449</v>
      </c>
      <c r="D150" s="16" t="s">
        <v>450</v>
      </c>
    </row>
    <row r="151" spans="1:4">
      <c r="A151" s="16" t="s">
        <v>446</v>
      </c>
      <c r="B151" s="16">
        <v>15</v>
      </c>
      <c r="C151" s="16" t="s">
        <v>451</v>
      </c>
      <c r="D151" s="16" t="s">
        <v>452</v>
      </c>
    </row>
    <row r="152" spans="1:4">
      <c r="A152" s="16" t="s">
        <v>446</v>
      </c>
      <c r="B152" s="16">
        <v>16</v>
      </c>
      <c r="C152" s="16" t="s">
        <v>451</v>
      </c>
      <c r="D152" s="16" t="s">
        <v>453</v>
      </c>
    </row>
    <row r="153" spans="1:4">
      <c r="A153" s="16" t="s">
        <v>446</v>
      </c>
      <c r="B153" s="16">
        <v>17</v>
      </c>
      <c r="C153" s="16" t="s">
        <v>454</v>
      </c>
      <c r="D153" s="16"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33</vt:i4>
      </vt:variant>
    </vt:vector>
  </HeadingPairs>
  <TitlesOfParts>
    <vt:vector size="39" baseType="lpstr">
      <vt:lpstr>Cover</vt:lpstr>
      <vt:lpstr>Inputs</vt:lpstr>
      <vt:lpstr>Model</vt:lpstr>
      <vt:lpstr>DCF</vt:lpstr>
      <vt:lpstr>Comps</vt:lpstr>
      <vt:lpstr>Guidance</vt:lpstr>
      <vt:lpstr>in_beta_raw</vt:lpstr>
      <vt:lpstr>in_capz</vt:lpstr>
      <vt:lpstr>in_cash</vt:lpstr>
      <vt:lpstr>in_debt_share</vt:lpstr>
      <vt:lpstr>in_dep</vt:lpstr>
      <vt:lpstr>in_drift</vt:lpstr>
      <vt:lpstr>in_ds</vt:lpstr>
      <vt:lpstr>in_erp</vt:lpstr>
      <vt:lpstr>in_execution</vt:lpstr>
      <vt:lpstr>in_g</vt:lpstr>
      <vt:lpstr>in_gsec</vt:lpstr>
      <vt:lpstr>in_int</vt:lpstr>
      <vt:lpstr>in_inv_g</vt:lpstr>
      <vt:lpstr>in_kd</vt:lpstr>
      <vt:lpstr>in_mi</vt:lpstr>
      <vt:lpstr>in_mult</vt:lpstr>
      <vt:lpstr>in_oa</vt:lpstr>
      <vt:lpstr>in_oi</vt:lpstr>
      <vt:lpstr>in_ol</vt:lpstr>
      <vt:lpstr>in_payout</vt:lpstr>
      <vt:lpstr>in_price</vt:lpstr>
      <vt:lpstr>in_ronic</vt:lpstr>
      <vt:lpstr>in_shares</vt:lpstr>
      <vt:lpstr>in_stub</vt:lpstr>
      <vt:lpstr>in_tax</vt:lpstr>
      <vt:lpstr>in_w_dcf</vt:lpstr>
      <vt:lpstr>in_yield</vt:lpstr>
      <vt:lpstr>out_dcf_ps</vt:lpstr>
      <vt:lpstr>out_rating</vt:lpstr>
      <vt:lpstr>out_rel_ps</vt:lpstr>
      <vt:lpstr>out_tp</vt:lpstr>
      <vt:lpstr>out_upside</vt:lpstr>
      <vt:lpstr>wacc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2026-09-26T10:53:44Z</dcterms:created>
  <dcterms:modified xsi:type="dcterms:W3CDTF">2026-09-26T10:53:44Z</dcterms:modified>
</cp:coreProperties>
</file>