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4" activeTab="3"/>
  </bookViews>
  <sheets>
    <sheet name="Cover" sheetId="1" r:id="rId1"/>
    <sheet name="Inputs" sheetId="2" r:id="rId2"/>
    <sheet name="Model" sheetId="3" r:id="rId3"/>
    <sheet name="DCF" sheetId="4" r:id="rId4"/>
    <sheet name="Comps" sheetId="5" r:id="rId5"/>
    <sheet name="Guidance" sheetId="6" r:id="rId6"/>
  </sheets>
  <definedNames>
    <definedName name="in_beta_raw">Inputs!$C$11</definedName>
    <definedName name="in_capz">Inputs!$C$32</definedName>
    <definedName name="in_cash">Inputs!$C$17</definedName>
    <definedName name="in_debt_share">Inputs!$C$33</definedName>
    <definedName name="in_dep">Inputs!$C$31</definedName>
    <definedName name="in_drift">Inputs!$C$39</definedName>
    <definedName name="in_ds">Inputs!$C$5</definedName>
    <definedName name="in_erp">Inputs!$C$6</definedName>
    <definedName name="in_execution">Inputs!$C$20</definedName>
    <definedName name="in_g">Inputs!$C$13</definedName>
    <definedName name="in_gsec">Inputs!$C$4</definedName>
    <definedName name="in_int">Inputs!$C$34</definedName>
    <definedName name="in_inv_g">Inputs!$C$38</definedName>
    <definedName name="in_jv0">Inputs!$C$28</definedName>
    <definedName name="in_jv_g">Inputs!$C$29</definedName>
    <definedName name="in_kd">Inputs!$C$12</definedName>
    <definedName name="in_mi">Inputs!$C$18</definedName>
    <definedName name="in_min_cash">Inputs!$C$10</definedName>
    <definedName name="in_mult">Inputs!$C$19</definedName>
    <definedName name="in_oa">Inputs!$C$36</definedName>
    <definedName name="in_oi">Inputs!$C$30</definedName>
    <definedName name="in_ol">Inputs!$C$37</definedName>
    <definedName name="in_payout">Inputs!$C$35</definedName>
    <definedName name="in_price">Inputs!$C$15</definedName>
    <definedName name="in_re_cost">Inputs!$C$22</definedName>
    <definedName name="in_re_cuf">Inputs!$C$23</definedName>
    <definedName name="in_re_margin">Inputs!$C$25</definedName>
    <definedName name="in_re_mw0">Inputs!$C$27</definedName>
    <definedName name="in_re_mw_prev">Inputs!$C$26</definedName>
    <definedName name="in_re_share">Inputs!$C$21</definedName>
    <definedName name="in_re_tariff">Inputs!$C$24</definedName>
    <definedName name="in_ronic">Inputs!$C$14</definedName>
    <definedName name="in_shares">Inputs!$C$16</definedName>
    <definedName name="in_stub">Inputs!$C$8</definedName>
    <definedName name="in_tax">Inputs!$C$7</definedName>
    <definedName name="in_w_dcf">Inputs!$C$9</definedName>
    <definedName name="in_yield">Inputs!$C$40</definedName>
    <definedName name="out_dcf_12m">DCF!$C$36</definedName>
    <definedName name="out_dcf_ps">DCF!$C$34</definedName>
    <definedName name="out_rating">DCF!$C$42</definedName>
    <definedName name="out_rel_ps">DCF!$C$38</definedName>
    <definedName name="out_tp">DCF!$C$40</definedName>
    <definedName name="out_upside">DCF!$C$41</definedName>
    <definedName name="wacc">DCF!$C$11</definedName>
  </definedNames>
  <calcPr calcId="124519" fullCalcOnLoad="1"/>
</workbook>
</file>

<file path=xl/sharedStrings.xml><?xml version="1.0" encoding="utf-8"?>
<sst xmlns="http://schemas.openxmlformats.org/spreadsheetml/2006/main" count="688" uniqueCount="481">
  <si>
    <t>Tata Power Company Ltd - inputs (Rs crore)</t>
  </si>
  <si>
    <t>Input</t>
  </si>
  <si>
    <t>Value</t>
  </si>
  <si>
    <t>Source / rationale</t>
  </si>
  <si>
    <t>India 10Y G-sec yield</t>
  </si>
  <si>
    <t>Trading Economics, 25-Sep-2026</t>
  </si>
  <si>
    <t>Sovereign default spread</t>
  </si>
  <si>
    <t>Damodaran, Jan-2026 (Baa3)</t>
  </si>
  <si>
    <t>Equity risk premium (India, total)</t>
  </si>
  <si>
    <t>Damodaran, Jan-2026</t>
  </si>
  <si>
    <t>Tax rate</t>
  </si>
  <si>
    <t>New corporate regime, 25.17% rounded</t>
  </si>
  <si>
    <t>FY27 fraction remaining</t>
  </si>
  <si>
    <t>Valuation date 25-Sep-2026</t>
  </si>
  <si>
    <t>Weight on 12m DCF in target (non-regulated)</t>
  </si>
  <si>
    <t>Balance on FY27E EV/EBITDA</t>
  </si>
  <si>
    <t>Incremental cash floor</t>
  </si>
  <si>
    <t>Shortfalls drawn on a revolver</t>
  </si>
  <si>
    <t>Raw beta (2y weekly vs Nifty 50)</t>
  </si>
  <si>
    <t>Computed from NSE prices</t>
  </si>
  <si>
    <t>Pre-tax cost of debt</t>
  </si>
  <si>
    <t>AA+ private</t>
  </si>
  <si>
    <t>Terminal growth</t>
  </si>
  <si>
    <t>Nominal INR</t>
  </si>
  <si>
    <t>Return on new invested capital (terminal)</t>
  </si>
  <si>
    <t>Share price (Rs)</t>
  </si>
  <si>
    <t>NSE close 2026-09-25</t>
  </si>
  <si>
    <t>Shares outstanding (crore)</t>
  </si>
  <si>
    <t>NSE / yfinance</t>
  </si>
  <si>
    <t>Cash &amp; short-term investments FY26</t>
  </si>
  <si>
    <t>FY26 balance sheet</t>
  </si>
  <si>
    <t>Minority interest FY26</t>
  </si>
  <si>
    <t>Peer median EV/EBITDA FY26A</t>
  </si>
  <si>
    <t>Peers: TORNTPOWER, CESC, JSWENERGY, ADANIPOWER</t>
  </si>
  <si>
    <t>Capex execution vs guidance</t>
  </si>
  <si>
    <t>Q1FY27 call: Rs 25,000 cr lined up for FY27, half RE and the rest FGD and T&amp;D, with a 'similar kind of capital outlay' after. FY26 spend of ~Rs 15,600 cr vs ~Rs 22,000 cr guided implies ~70-75% delivery; 75% assumed.</t>
  </si>
  <si>
    <t>RE share of assets commissioned</t>
  </si>
  <si>
    <t>Rs 6 cr/MW for hybrid/FDRE-heavy additions (Rs 12-15k cr for ~2 GW a year, Q4FY26 call), CUF 27%, Rs 3.2/kWh, 88% EBITDA margin. Model adds ~1.4 GW in FY27.</t>
  </si>
  <si>
    <t>RE cost (Rs cr per MW)</t>
  </si>
  <si>
    <t>RE capacity utilisation (CUF)</t>
  </si>
  <si>
    <t>RE tariff (Rs/kWh)</t>
  </si>
  <si>
    <t>RE EBITDA margin</t>
  </si>
  <si>
    <t>RE MW at FY25 (for FY26 calibration)</t>
  </si>
  <si>
    <t>RE MW at FY26</t>
  </si>
  <si>
    <t>NTPC: reported; others: FY26 RE commissioning / cost per MW</t>
  </si>
  <si>
    <t>Share of JV profit FY26</t>
  </si>
  <si>
    <t>not modelled</t>
  </si>
  <si>
    <t>JV profit growth</t>
  </si>
  <si>
    <t>Other income % of sales</t>
  </si>
  <si>
    <t>Depreciation % opening net block</t>
  </si>
  <si>
    <t>Capitalisation % of (CWIP + capex)</t>
  </si>
  <si>
    <t>New term debt % of capex</t>
  </si>
  <si>
    <t>Interest % average debt (and revolver)</t>
  </si>
  <si>
    <t>Dividend payout</t>
  </si>
  <si>
    <t>FY26 actual</t>
  </si>
  <si>
    <t>Other (non-cash) assets % of sales</t>
  </si>
  <si>
    <t>Other liabilities (ex minorities) % of sales</t>
  </si>
  <si>
    <t>Investments growth (cash)</t>
  </si>
  <si>
    <t>EBITDA growth of existing assets</t>
  </si>
  <si>
    <t>Existing EBITDA drifts 4% a year: Mumbai transmission (~Rs 1,000 cr capex a year), distribution and rooftop/EPC. Non-RE assets commissioned earn 12% (FY19-26: 12.2%).</t>
  </si>
  <si>
    <t>EBITDA yield on non-RE assets commissioned</t>
  </si>
  <si>
    <t>Tata Power Company Ltd - consolidated model (Rs crore)</t>
  </si>
  <si>
    <t>FY22A</t>
  </si>
  <si>
    <t>FY23A</t>
  </si>
  <si>
    <t>FY24A</t>
  </si>
  <si>
    <t>FY25A</t>
  </si>
  <si>
    <t>FY26A</t>
  </si>
  <si>
    <t>FY27E</t>
  </si>
  <si>
    <t>FY28E</t>
  </si>
  <si>
    <t>FY29E</t>
  </si>
  <si>
    <t>FY30E</t>
  </si>
  <si>
    <t>FY31E</t>
  </si>
  <si>
    <t>FY32E</t>
  </si>
  <si>
    <t>FY33E</t>
  </si>
  <si>
    <t>FY34E</t>
  </si>
  <si>
    <t>FY35E</t>
  </si>
  <si>
    <t>FY36E</t>
  </si>
  <si>
    <t>Capex and commissioning</t>
  </si>
  <si>
    <t>EBITDA build</t>
  </si>
  <si>
    <t>Income statement</t>
  </si>
  <si>
    <t>Balance sheet</t>
  </si>
  <si>
    <t>Cash flow</t>
  </si>
  <si>
    <t>Ratios</t>
  </si>
  <si>
    <t>Capex guided (mgmt)</t>
  </si>
  <si>
    <t>Capex</t>
  </si>
  <si>
    <t>Assets commissioned (CWIP to block)</t>
  </si>
  <si>
    <t xml:space="preserve">  of which renewables</t>
  </si>
  <si>
    <t xml:space="preserve">  of which core / regulated</t>
  </si>
  <si>
    <t>Renewable capacity (MW)</t>
  </si>
  <si>
    <t>Renewable revenue</t>
  </si>
  <si>
    <t>Renewable EBITDA</t>
  </si>
  <si>
    <t>Regulated equity (n/a)</t>
  </si>
  <si>
    <t>Core EBITDA</t>
  </si>
  <si>
    <t>EBITDA</t>
  </si>
  <si>
    <t>EBITDA margin</t>
  </si>
  <si>
    <t>Revenue</t>
  </si>
  <si>
    <t>Other income</t>
  </si>
  <si>
    <t>Depreciation</t>
  </si>
  <si>
    <t>Interest (term debt + opening revolver)</t>
  </si>
  <si>
    <t>Profit before tax</t>
  </si>
  <si>
    <t>Tax</t>
  </si>
  <si>
    <t>Share of JV profit</t>
  </si>
  <si>
    <t>Net profit</t>
  </si>
  <si>
    <t>Minority share of profit</t>
  </si>
  <si>
    <t>Net profit to shareholders</t>
  </si>
  <si>
    <t>EPS (Rs)</t>
  </si>
  <si>
    <t>Dividends</t>
  </si>
  <si>
    <t>Net block</t>
  </si>
  <si>
    <t>Capital work in progress</t>
  </si>
  <si>
    <t>Investments</t>
  </si>
  <si>
    <t>Other assets (non-cash)</t>
  </si>
  <si>
    <t>Incremental cash (floor, see revolver)</t>
  </si>
  <si>
    <t>Total assets</t>
  </si>
  <si>
    <t>Equity capital</t>
  </si>
  <si>
    <t>Reserves</t>
  </si>
  <si>
    <t>Minority interest</t>
  </si>
  <si>
    <t>Borrowings (term)</t>
  </si>
  <si>
    <t>Revolver</t>
  </si>
  <si>
    <t>Other liabilities (ex minorities from FY26)</t>
  </si>
  <si>
    <t>Total liabilities &amp; equity</t>
  </si>
  <si>
    <t>Balance check (assets - liabilities)</t>
  </si>
  <si>
    <t>Increase in net working capital</t>
  </si>
  <si>
    <t>Cash from operations</t>
  </si>
  <si>
    <t>Cash from investing</t>
  </si>
  <si>
    <t>Term debt raised less dividends</t>
  </si>
  <si>
    <t>Cash before revolver</t>
  </si>
  <si>
    <t>Revolver draw / (repayment)</t>
  </si>
  <si>
    <t>Cash from financing</t>
  </si>
  <si>
    <t>Net debt / EBITDA</t>
  </si>
  <si>
    <t>Return on average equity</t>
  </si>
  <si>
    <t>Tata Power Company Ltd - valuation</t>
  </si>
  <si>
    <t>Cost of capital</t>
  </si>
  <si>
    <t>Risk-free (INR, G-sec less default spread)</t>
  </si>
  <si>
    <t>Beta (Blume-adjusted)</t>
  </si>
  <si>
    <t>Cost of equity</t>
  </si>
  <si>
    <t>Post-tax cost of debt</t>
  </si>
  <si>
    <t>Borrowings FY26</t>
  </si>
  <si>
    <t>Market cap</t>
  </si>
  <si>
    <t>Debt weight</t>
  </si>
  <si>
    <t>WACC</t>
  </si>
  <si>
    <t>Free cash flow to firm</t>
  </si>
  <si>
    <t>NOPAT</t>
  </si>
  <si>
    <t>Increase in NWC</t>
  </si>
  <si>
    <t>FCFF</t>
  </si>
  <si>
    <t>FCFF (stub-adjusted)</t>
  </si>
  <si>
    <t>Discount period (yrs)</t>
  </si>
  <si>
    <t>Discount factor</t>
  </si>
  <si>
    <t>PV of FCFF</t>
  </si>
  <si>
    <t>PV of explicit FCFF</t>
  </si>
  <si>
    <t>Terminal value (value-driver)</t>
  </si>
  <si>
    <t>PV of terminal value</t>
  </si>
  <si>
    <t>Enterprise value</t>
  </si>
  <si>
    <t>Less: borrowings FY26</t>
  </si>
  <si>
    <t>Add: cash</t>
  </si>
  <si>
    <t>Add: investments (book)</t>
  </si>
  <si>
    <t>Less: minority interest</t>
  </si>
  <si>
    <t>Equity value today</t>
  </si>
  <si>
    <t>DCF value per share today (Rs)</t>
  </si>
  <si>
    <t>Terminal value share of EV</t>
  </si>
  <si>
    <t>DCF value in 12 months (grown at Ke, less FY27 DPS)</t>
  </si>
  <si>
    <t>Peer EV/EBITDA x FY27E EBITDA</t>
  </si>
  <si>
    <t>EV/EBITDA value in 12 months (Rs)</t>
  </si>
  <si>
    <t>SOTP value per share (Rs, regulated only)</t>
  </si>
  <si>
    <t>n/a</t>
  </si>
  <si>
    <t>12-month target price (Rs)</t>
  </si>
  <si>
    <t>Upside / (downside)</t>
  </si>
  <si>
    <t>Rating</t>
  </si>
  <si>
    <t>DCF value per share today: WACC (rows) x terminal growth (cols)</t>
  </si>
  <si>
    <t>Tata Power Company Ltd</t>
  </si>
  <si>
    <t>Current price (Rs)</t>
  </si>
  <si>
    <t>Upside</t>
  </si>
  <si>
    <t>DCF value today (Rs)</t>
  </si>
  <si>
    <t>DCF value in 12m (Rs)</t>
  </si>
  <si>
    <t>FY27E EV/EBITDA value (Rs)</t>
  </si>
  <si>
    <t>Method: 50% 12-month DCF + 50% FY27E EV/EBITDA.</t>
  </si>
  <si>
    <t>Blue = input, black = formula. Change Inputs or the guided-capex row on Model.</t>
  </si>
  <si>
    <t>Prices as of 2026-09-25. Student research exercise, not investment advice.</t>
  </si>
  <si>
    <t>Listed power comps, FY26A</t>
  </si>
  <si>
    <t>Company</t>
  </si>
  <si>
    <t>Segment</t>
  </si>
  <si>
    <t>Mcap</t>
  </si>
  <si>
    <t>EV</t>
  </si>
  <si>
    <t>EV/EBITDA</t>
  </si>
  <si>
    <t>P/E</t>
  </si>
  <si>
    <t>P/B</t>
  </si>
  <si>
    <t>ROE</t>
  </si>
  <si>
    <t>ND/EBITDA</t>
  </si>
  <si>
    <t>Adani Power</t>
  </si>
  <si>
    <t>IPP / thermal</t>
  </si>
  <si>
    <t>NTPC Ltd</t>
  </si>
  <si>
    <t>Integrated / thermal-led</t>
  </si>
  <si>
    <t>Power Grid Corp</t>
  </si>
  <si>
    <t>Transmission / PSU</t>
  </si>
  <si>
    <t>Adani Green Energy</t>
  </si>
  <si>
    <t>Renewables</t>
  </si>
  <si>
    <t>Tata Power</t>
  </si>
  <si>
    <t>Integrated / private</t>
  </si>
  <si>
    <t>JSW Energy</t>
  </si>
  <si>
    <t>IPP / private</t>
  </si>
  <si>
    <t>NHPC</t>
  </si>
  <si>
    <t>Hydro / PSU</t>
  </si>
  <si>
    <t>Torrent Power</t>
  </si>
  <si>
    <t>NLC India</t>
  </si>
  <si>
    <t>Lignite-thermal / PSU</t>
  </si>
  <si>
    <t>SJVN</t>
  </si>
  <si>
    <t>CESC</t>
  </si>
  <si>
    <t>JP Power Ventures</t>
  </si>
  <si>
    <t>Reliance Power</t>
  </si>
  <si>
    <t>PTC India</t>
  </si>
  <si>
    <t>Power trading</t>
  </si>
  <si>
    <t>Management guidance extracted from earnings calls (NSE filings)</t>
  </si>
  <si>
    <t>Call</t>
  </si>
  <si>
    <t>Page</t>
  </si>
  <si>
    <t>Figures</t>
  </si>
  <si>
    <t>Sentence</t>
  </si>
  <si>
    <t>Q1FY27</t>
  </si>
  <si>
    <t>10,000 crore</t>
  </si>
  <si>
    <t>And this will continue because we have a huge pipeline of investment, which is there in Mumbai transmission, nearly INR 10,000 crores of investment will happen in the next 5 years.</t>
  </si>
  <si>
    <t>5%</t>
  </si>
  <si>
    <t>But yes, up to 5% over the next 9 months, you can expect.</t>
  </si>
  <si>
    <t>100%; 60%; 70%</t>
  </si>
  <si>
    <t>In fact, last year, we grew by 100%, and this year also, we have plans to grow by about 60% to 70%.</t>
  </si>
  <si>
    <t>5.5 gigawatt</t>
  </si>
  <si>
    <t>We already have 5.5 gigawatts in pipeline plus some of the solutioning along with PSP that is required.</t>
  </si>
  <si>
    <t>12%; 13%; 25%</t>
  </si>
  <si>
    <t>Praveer Sinha: I will also increase my market share from 12%, 13%, I will become 25%.</t>
  </si>
  <si>
    <t>40 gigawatt; 30 gigawatt</t>
  </si>
  <si>
    <t>Sinha, if you look at quadrupling compared to more than quadrupling, so basically, what you're suggesting is by 2029, 2030, keeping battery aside, I know battery is also going to be some component, but we're looking at 40 gigawatt -- 30 gigawatt, 40</t>
  </si>
  <si>
    <t>800 megawatt; 900 megawatt</t>
  </si>
  <si>
    <t>Almost half of that will go in the renewable business because as we mentioned, we're trying to commission almost 800 megawatts to 900 megawatts in quarter 2.</t>
  </si>
  <si>
    <t>6,500 crore</t>
  </si>
  <si>
    <t>Maybe if everything goes well, it will be closer to INR 6,500 crores.</t>
  </si>
  <si>
    <t>6,000 crore</t>
  </si>
  <si>
    <t>But yes, you can assume in our quarter 2 also, we're kind of looking at a capex plan of probably higher than INR 6,000 crores.</t>
  </si>
  <si>
    <t>40%; 45%</t>
  </si>
  <si>
    <t>Sanjeev Churiwala: Almost 40% to 45% will be going in renewables and the remaining in other businesses.</t>
  </si>
  <si>
    <t>30,000 crore</t>
  </si>
  <si>
    <t>And I believe you in annual reports have been talking about INR 30,000 crores of rooftop revenue for you by 2030.</t>
  </si>
  <si>
    <t>2,800 megawatt</t>
  </si>
  <si>
    <t>Would be great if you can share our plans for further capacity addition beyond this 2,800 megawatts.</t>
  </si>
  <si>
    <t>6%</t>
  </si>
  <si>
    <t>Purely from a reported PAT perspective, we grew by about 6%, more or less what we are also planning in quarter 1.</t>
  </si>
  <si>
    <t>50%; 25,000 crore</t>
  </si>
  <si>
    <t>50% of that INR 25,000 crores will be for renewable projects where we have clear line of sight, the balance is divided between our FGD projects as well as the transmission and distribution projects, which are also in pipeline.</t>
  </si>
  <si>
    <t>25,000 crore</t>
  </si>
  <si>
    <t>And we expect that the INR 25,000 crores that we have lined up for this year, we'll be able to implement.</t>
  </si>
  <si>
    <t>1,125 megawatt</t>
  </si>
  <si>
    <t>We expect to start work on the 1,125 megawatt Dorjilung project where World Bank is financing, and we are in the process of completing the financial closure in the next 2 months' time with PFC, IFC and some of the other lenders.</t>
  </si>
  <si>
    <t>100%</t>
  </si>
  <si>
    <t>All of the procurers are taking full capacity from the plant, and they are 100% convinced that this is the most sustainable plant in the long run in terms of its tariffs and in terms of merit order.</t>
  </si>
  <si>
    <t>1,000 megawatt</t>
  </si>
  <si>
    <t>For the first time, our module plant we crossed 1,000 megawatt in the first quarter, and we expect that we have virtually peaked over there or peaking over there in terms of our module production, our cell production is still catching up.</t>
  </si>
  <si>
    <t>226 megawatt; 500 megawatt</t>
  </si>
  <si>
    <t>As we speak, while in the first quarter, we have commissioned 226 megawatts, but we already have a line of sight for 500 megawatts where the project is almost ready.</t>
  </si>
  <si>
    <t>Q4FY26</t>
  </si>
  <si>
    <t>But then you have capex coming up in pumped storages, capex coming up in pure hydro, so a combination of all of this -- transmission as well, so I think a combination of all of this, next year is INR25,000 crores, our sense is probably going forward also, we'll have a similar kind of capital outlay.</t>
  </si>
  <si>
    <t>1.7 gigawatt</t>
  </si>
  <si>
    <t>But is it fair to say that a large part of maybe like 1.6, 1.7 gigawatt will be FDRE in this commissioning?</t>
  </si>
  <si>
    <t>220 megawatt</t>
  </si>
  <si>
    <t>These are small modular 2 x 220 megawatt plants.</t>
  </si>
  <si>
    <t>16.7 gigawatt; 10 gigawatt</t>
  </si>
  <si>
    <t>On your Slide 7, the current operational capacity is 16.7 gigawatts and including pipeline is 26.3, which means an addition of 10 gigawatts.</t>
  </si>
  <si>
    <t>Does this mean that INR10,000 crores of regulated capex will happen in FY27?</t>
  </si>
  <si>
    <t>1,000 crore</t>
  </si>
  <si>
    <t>Praveer Sinha: Mumbai transmission adds every year INR1,000 crores of capex.</t>
  </si>
  <si>
    <t>1,200 megawatt</t>
  </si>
  <si>
    <t>But if I see your FY32 slides, where we have highlighted the time line of the FDRE and hybrid wind getting commissioned, the contracted capacity comes only to the tune of 1,200 megawatt.</t>
  </si>
  <si>
    <t>12%; 13%</t>
  </si>
  <si>
    <t>And based on that, we do expect that all of them will come in 12% to 13% range in the next 4 to 5 years.</t>
  </si>
  <si>
    <t>2%</t>
  </si>
  <si>
    <t>So, you can expect that you will reduce about 2% every year in that sort of reduction will be a ballpark number.</t>
  </si>
  <si>
    <t>100%; 50%; 60%</t>
  </si>
  <si>
    <t>So, I do expect that in FY '27, the rooftop market, the rooftop business will grow, if not by 100%, at least by 50%, 60%.</t>
  </si>
  <si>
    <t>2.5 gigawatt; 1.7 gigawatt</t>
  </si>
  <si>
    <t>So, in terms of commissioning, I think you mentioned we'll be adding 2.5 gigawatts this year and 2.5 similar number next year and further like 1.5 to 1.7 gigawatt is solar.</t>
  </si>
  <si>
    <t>25,000 crore; 2 gigawatt; 12,000 crore; 15,000 crore</t>
  </si>
  <si>
    <t>Rajesh Majumdar: And sir, your capex figure of INR25,000 crores, if you take an addition of 2 gigawatts per annum, then the capex is roughly about, say, on the higher side, maybe INR12,000 crores to INR15,000 crores.</t>
  </si>
  <si>
    <t>20%</t>
  </si>
  <si>
    <t>And our target is that in next 3 years, we will do 20%.</t>
  </si>
  <si>
    <t>25,000 crore; 22,000 crore</t>
  </si>
  <si>
    <t>The Tata Power Company Limited May 12, 2026 Page 5 of 19 Praveer Sinha: Yes, Sumit, so I agree that our guidance was, I don't think INR25,000 crores, but it was, I think, about INR22,000 crores.</t>
  </si>
  <si>
    <t>857 crore</t>
  </si>
  <si>
    <t>We have seen during the year, the plant has delivered a PAT of INR857 crores, which is more than double of the previous year.</t>
  </si>
  <si>
    <t>And we expect that prices will be within plus/minus 5% in that range.</t>
  </si>
  <si>
    <t>50%; 50%</t>
  </si>
  <si>
    <t>50% of it will be completed in this financial year and the balance 50% in FY '28.</t>
  </si>
  <si>
    <t>10 gigawatt</t>
  </si>
  <si>
    <t>We have informed you that we are going to start work in our new 10 gigawatt of wafer and ingot plant in 2 phases, and that will cater to our existing operations of cell and module plant, which will require Indian made wafers from 1st June 2028 onwards.</t>
  </si>
  <si>
    <t>5 gigawatt</t>
  </si>
  <si>
    <t>And we do expect that the nearly 5 gigawatt of projects which are under implementation, and these are all in-house projects.</t>
  </si>
  <si>
    <t>Sumit Kishore: No, sir, I was referring to the slide in your Bhubaneswar presentation, which shows INR25,000 crores of capex.</t>
  </si>
  <si>
    <t>270 gigawatt</t>
  </si>
  <si>
    <t>We do expect that in next 1 to 2 months, this will cross about 270 gigawatts.</t>
  </si>
  <si>
    <t>And as you can see, we have about 5 gigawatts of pipeline as we speak.</t>
  </si>
  <si>
    <t>2 gigawatt</t>
  </si>
  <si>
    <t>Sumit Kishore: So if you deliver, for instance, 2 gigawatt of solar project, then the requirement of module cell will be 2 into 1.4, the multiplying factor.</t>
  </si>
  <si>
    <t>But I think you kind of alluded to the 2 gigawatt of commissioning next year, which is kind of a ballpark number that we're also looking at.</t>
  </si>
  <si>
    <t>Q3FY26</t>
  </si>
  <si>
    <t>2.5 gigawatt</t>
  </si>
  <si>
    <t>And within that, so 2.5 gigawatt of renewables expected to get commissioned next year, how much would solar be out of that?</t>
  </si>
  <si>
    <t>15,000 crore; 20,000 crore; 25,000 crore</t>
  </si>
  <si>
    <t>So, we are on a very comfortable journey, given that we will be spending close to 15,000 crores-20,000 crores-25,000 crores of CAPEX every year.</t>
  </si>
  <si>
    <t>5%; 6%</t>
  </si>
  <si>
    <t>Sanjeev Churiwala: I think on the EPC side, we kind of target PAT margin of close to 5% to 6% every quarter.</t>
  </si>
  <si>
    <t>2.5 gigawatt; 2.5 gigawatt</t>
  </si>
  <si>
    <t>And if I heard you correctly, sir, for excluding third party, next year you are targeting 2.5 gigawatt and FY'28 another 2.5 gigawatt.</t>
  </si>
  <si>
    <t>Currently, we have, I think, more than 5 gigawatts under construction.</t>
  </si>
  <si>
    <t>As you are aware, we have a pipeline of nearly 5.5 gigawatts of projects, which we need to execute.</t>
  </si>
  <si>
    <t>2.7 gigawatt</t>
  </si>
  <si>
    <t>So, 2.7 gigawatts we will be doing in this financial year.</t>
  </si>
  <si>
    <t>500 megawatt</t>
  </si>
  <si>
    <t>And that means that we have inherent capacity to execute such large capacity and we will add another 500 megawatt in this quarter.</t>
  </si>
  <si>
    <t>2.2 gigawatt</t>
  </si>
  <si>
    <t>Praveer Sinha: If you look at Tata Power this year, we have already commissioned 2.2 gigawatt of projects.</t>
  </si>
  <si>
    <t>1 gigawatt; 2 gigawatt</t>
  </si>
  <si>
    <t>And that 1 gigawatt that you're looking at now is despite third-party execution, the initial expectation was 1.5 to 2 gigawatt.</t>
  </si>
  <si>
    <t>1 gigawatt</t>
  </si>
  <si>
    <t>I know you're looking at 1 gigawatt broadly commissioning this year.</t>
  </si>
  <si>
    <t>50%; 60%</t>
  </si>
  <si>
    <t>And I think the capacity adds that you are seeing last year, at least 50% to 60% more will happen in this year and we will continue to see the increase going forward.</t>
  </si>
  <si>
    <t>But next year, the so-called 2.5, we will do 100% for ourselves.</t>
  </si>
  <si>
    <t>198 megawatt</t>
  </si>
  <si>
    <t>Praveer Sinha: I think some of the Tata Steel projects, we already commissioned 198 megawatt wind project.</t>
  </si>
  <si>
    <t>We have another 400 to 500 megawatt of project which we are pursuing which we expect to complete in this quarter and then we have projects which will come up in 2027, wherein most of the projects will be our own because all our so- called third party projects have got over including the SJVN, MSEDCL, NHPC.</t>
  </si>
  <si>
    <t>2.6 gigawatt</t>
  </si>
  <si>
    <t>Praveer Sinha: So, our target this year was that we will set up 2.6 gigawatt which included third party and ourselves.</t>
  </si>
  <si>
    <t>I think the target we have set for ourselves was 2-2.5 gigawatt, if I remember correctly.</t>
  </si>
  <si>
    <t>280 gigawatt</t>
  </si>
  <si>
    <t>We do expect that our peak demand will be in the 270-280 gigawatt range, and we can expect a very large increase in the demand of power in the coming months.</t>
  </si>
  <si>
    <t>So, 2.5 gigawatt in FY'27 is the target, right, sir?</t>
  </si>
  <si>
    <t>Q2FY26</t>
  </si>
  <si>
    <t>5 crore</t>
  </si>
  <si>
    <t>Only 20 lakh rooftops have been installed till September, and my expectation is that in this country at least 5 crores homes will have a rooftop and so there is a long way that we have to go to cater to the country’s requirements.</t>
  </si>
  <si>
    <t>1.3 gigawatt</t>
  </si>
  <si>
    <t>We expect that in Q3 and Q4, we will do about 1.3 gigawatt.</t>
  </si>
  <si>
    <t>1.3 gigawatt; 2 gigawatt; 1.5 gigawatt</t>
  </si>
  <si>
    <t>Bharanidhar Vijayakumar: So, what I am hearing is 2.6-gigawatt target in ‘26, now, we will mostly read as 1.3 gigawatt plus 2 gigawatt already comes in around 1.5 gigawatt.</t>
  </si>
  <si>
    <t>2 gigawatt; 60 gigawatt</t>
  </si>
  <si>
    <t>Today, we have virtually very small capacity, just 2 gigawatts in the country, and the country will require about 50 to 60 gigawatts of wafer and ingot manufacturing capability in the next two, three years.</t>
  </si>
  <si>
    <t>200 megawatt; 1%</t>
  </si>
  <si>
    <t>Just overall when we look at the industry, it seems like there is a spurt in commissioning maybe 27–28-gigawatt commissioning in the first seven months and 200 megawatt seems like less than 1% share.</t>
  </si>
  <si>
    <t>Management: I mean, we kind of plan on a runway to do about 2 to 2.5 gigawatt every year.</t>
  </si>
  <si>
    <t>10,000 crore; 7,300 crore</t>
  </si>
  <si>
    <t>Sir, in first half, your consol net debt has gone up by almost Rs.10,000 crores versus the CAPEX of Rs.7,300 crores.</t>
  </si>
  <si>
    <t>7,500 crore</t>
  </si>
  <si>
    <t>You mentioned that roughly, the renewable capacity would have at least close to Rs.7,500 crores of CAPEX.</t>
  </si>
  <si>
    <t>5.8 gigawatt</t>
  </si>
  <si>
    <t>And then in terms of our pipeline, again, one slide has almost like 5.8 gigawatts of project, which includes FDRE, solar, wind, hybrid combined as a pipeline.</t>
  </si>
  <si>
    <t>And, sir, second related question, as you mentioned, close to 4 to 5 gigawatt we are planning to do over the next two years.</t>
  </si>
  <si>
    <t>We had some time back given a 2.6 gigawatt of addition target for ‘26 and about 2.3 for ‘27.</t>
  </si>
  <si>
    <t>17,500 crore</t>
  </si>
  <si>
    <t>Anuj Upadhyay: And can you split across the balance CAPEX, the Rs.17,500 crores across various segments?</t>
  </si>
  <si>
    <t>26%</t>
  </si>
  <si>
    <t>And on the cell and module plant numbers that you have shown, the EBITDA margin seems to be better this time around, around 26% or so, is this sustainable and what was the mix of module cell sale to third-party and in-house use this time around?</t>
  </si>
  <si>
    <t>600 megawatt</t>
  </si>
  <si>
    <t>In fact, we have huge target to add capacity in renewable projects, especially for our own utility projects in 3th and 4th Quarter and we are expecting about 700-megawatt capacity add in the 3rd Quarter and 600 megawatts in the 4th Quarter.</t>
  </si>
  <si>
    <t>7,300 crore; 25,000 crore</t>
  </si>
  <si>
    <t>Praveer Sinha: We have incurred about Rs.7,300 crores and our plan is Rs.25,000 crores.</t>
  </si>
  <si>
    <t>240 crore; 262%; 340 crore</t>
  </si>
  <si>
    <t>• Similarly, our solar cell and module manufacturing plant has done exceedingly well, has stabilized production, the cost of production has reduced, we have been able to optimize lot of costs including the input material cost and that is why our PAT has gone to Rs.240 crores, which is a 262% increase from the previous year and our H1 PAT is Rs.340 crores and you can again see this happening in future quarters also.</t>
  </si>
  <si>
    <t>We also saw for the first time the rooftop sales crossing Rs.1,000 crores in a quarter and I think going forward you will see many of these type of new benchmarks that will be set in the rooftop business.</t>
  </si>
  <si>
    <t>4,000 crore</t>
  </si>
  <si>
    <t>• We have also for the first time in the quarter crossed an EBITDA of Rs.4,000 crores and again this is in back of excellent performance from all our businesses in spite of the fact that we had loss in Mundra because the plant was not operating.</t>
  </si>
  <si>
    <t>279 crore</t>
  </si>
  <si>
    <t>Similarly, our half yearly PAT for the Odisha Discom is Rs.279 crores and we do expect that this will be the template going forward because most of the initial issues have been sorted out.</t>
  </si>
  <si>
    <t>60%; 40%</t>
  </si>
  <si>
    <t>It will be on similar terms as was done for the 600 Khorlochhu project where 60% stake will be from the Bhutan government-owned DGPC and we will have 40% stake and that will continue.</t>
  </si>
  <si>
    <t>4 gigawatt</t>
  </si>
  <si>
    <t>And we do expect that many of these initiatives will start showing the type of results that we had presented to you in the last analyst meet that we had in our 4 gigawatt manufacturing plant in Tirunelveli.</t>
  </si>
  <si>
    <t>7,349 crore; 25,000 crore</t>
  </si>
  <si>
    <t>We invested nearly Rs.7,349 crores in this year and as we have mentioned to you we plan to spend Rs.25,000 crores in this financial year.</t>
  </si>
  <si>
    <t>40%; 830 crore; 13,000 crore; 40%; 1,600 crore</t>
  </si>
  <si>
    <t>Since you asked about the investment, in both the projects, the earlier Khorlochhu one, we have a 40% partnership over there our equity contribution would be about Rs.830 crores, and in the second one, which is Rs.13,000 crores CAPEX plan, we also have a 40% equity over there and our investment there would be about close to Rs.1,500-1,600 crores.</t>
  </si>
  <si>
    <t>2,400 crore</t>
  </si>
  <si>
    <t>Both these projects put together, our total equity from Tata Power side will be about Rs.2,400 crores.</t>
  </si>
  <si>
    <t>Q1FY26</t>
  </si>
  <si>
    <t>1,600 megawatt</t>
  </si>
  <si>
    <t>Mahesh Patil: And you mentioned that over the next three quarters around 1,600 megawatts additional capacity will be commissioned.</t>
  </si>
  <si>
    <t>But what is your predictability in terms of 4 gigawatt of your capacity on Mono PERC going to rise if I take a 3 or 5 outlook and also on TOPCon once your current plant whenever it starts and stabilizes?</t>
  </si>
  <si>
    <t>1 crore; 25 crore</t>
  </si>
  <si>
    <t>Sushil Choksey: So, your own statement is that demand is not a problem keeping in mind 1 crore or 25 crore house which you expect all of us to assume based on demand.</t>
  </si>
  <si>
    <t>5.4 gigawatt</t>
  </si>
  <si>
    <t>Praveer Sinha: We have a pipeline of 5.4 gigawatt of our own projects in which we are the developers.</t>
  </si>
  <si>
    <t>80%; 100%</t>
  </si>
  <si>
    <t>Based on what we operated in first quarter and what is our plan to operate in the rest of the year once the SPPA is finalized, we will be doing 80% on which we get 100% fixed cost.</t>
  </si>
  <si>
    <t>And we expect that on an overall year basis, we will have 80% availability on which we get 100% capacity charge.</t>
  </si>
  <si>
    <t>So, 1.7 gigawatt and next year onwards 2 plus gigawatt.</t>
  </si>
  <si>
    <t>This year itself we will be doing more than 2 gigawatt of commissioning.</t>
  </si>
  <si>
    <t>And we can assume this would be the 100 going forward, let us say around 2 gigawatt of commissioning?</t>
  </si>
  <si>
    <t>So, around 1.7 gigawatts target for FY'26, correct?</t>
  </si>
  <si>
    <t>13%; 14%</t>
  </si>
  <si>
    <t>While we see even in the previous quarter where our cell plant is more partially operational, we did close to around 13%-14% kind of a margin and considering the fact that the DCR supply has been quite constrained off late, the people who have access to it are meeting a very high margin by selling it to the third party.</t>
  </si>
  <si>
    <t>100 megawatt</t>
  </si>
  <si>
    <t>So, you have mentioned that I think only 100 megawatts of solar capacity has been commissioned this quarter, right?</t>
  </si>
  <si>
    <t>We do expect that this will consistently become 100% as we see in Delhi and Mumbai, where we have our distribution setup.</t>
  </si>
  <si>
    <t>652 megawatt</t>
  </si>
  <si>
    <t>We have commissioned this quarter a record 652 megawatt which is nearly double of the quantity that was commissioned in last year's same quarter and out of which 560 is for third party and 92 is for our own utility scale.</t>
  </si>
  <si>
    <t>3,700 crore</t>
  </si>
  <si>
    <t>3,700 crores against our full year plan of Rs.</t>
  </si>
  <si>
    <t>10%</t>
  </si>
  <si>
    <t>We do expect that in the next 3 years, we will bring down to about 10% range and the type of reductions that we have seen in last 4 years, this trend will continue and that will help us in getting better returns.</t>
  </si>
  <si>
    <t>We expect nearly 1,600 megawatt of own utility scale projects to come up in the next three quarters and that will help us in enhancing the operating capacity of the renewable business.</t>
  </si>
  <si>
    <t>650 megawatt</t>
  </si>
  <si>
    <t>So, we need to look from that perspective that what is our pipeline and our readiness to commission this and we have been able to successfully implement nearly 650 megawatt in this quarter and have plans to substantially increase in the coming quarter.</t>
  </si>
  <si>
    <t>2,800 megawatt; 1,000 megawatt; 1,800 megawatt</t>
  </si>
  <si>
    <t>We also have a pipeline of 2,800 megawatts of pumped hydro project and 1,000 megawatt already work has started, 1,800 megawatt work will start in 9 months and then we have the hydro plants in Bhutan where already work has</t>
  </si>
  <si>
    <t>600 megawatt; 5 gigawatt</t>
  </si>
  <si>
    <t>The Tata Power Company Limited August 1, 2025 Page 10 of 19 started on the 600 megawatt and we have plans to increase it to nearly 5 gigawatts in next few years.</t>
  </si>
  <si>
    <t>Q4FY25</t>
  </si>
  <si>
    <t>4,100 crore</t>
  </si>
  <si>
    <t>4,100 crores in the last quarter, and in the whole year we had a CAPEX of Rs.</t>
  </si>
  <si>
    <t>3.3%; 5%; 5%</t>
  </si>
  <si>
    <t>You see, for the last full year, when the margin was 3.3%, I very clearly remember we said that we are targeting 5%, and this year we are delivering 5%.</t>
  </si>
  <si>
    <t>The second question is, is there any update on the financial closure of the Pumped Storage Power Plant which you are building up the facility with 1,000 megawatts?</t>
  </si>
  <si>
    <t>30%</t>
  </si>
  <si>
    <t>Given that we are also growing our transmission and distribution, CAPEX of about 30% odd will go there and the remaining are there.</t>
  </si>
  <si>
    <t>Sanjeev Churiwala: I think next year for sure we may have about the delivery of 1 gigawatt or around so, to be done for the third-party EPC.</t>
  </si>
  <si>
    <t>650 megawatt; 3.700 megawatt</t>
  </si>
  <si>
    <t>You will only see improvement of it because in Q4 we produced 650 megawatts while in FY '26 we are expecting more than 3.700 megawatts.</t>
  </si>
  <si>
    <t>2.5 gigawatt; 2.7 gigawatt</t>
  </si>
  <si>
    <t>This year we will commission nearly 2.5 gigawatts to 2.7 gigawatts of renewable projects.</t>
  </si>
  <si>
    <t>So the transmission evacuation issues are largely sorted to commission 2.5 gigawatts plus of renewable in FY '26 like you targeted?</t>
  </si>
  <si>
    <t>And again, nearly 1 gigawatt will be required over there.</t>
  </si>
  <si>
    <t>3,700 megawatt</t>
  </si>
  <si>
    <t>With both the cell and module line fully operational, we do expect that in the coming year we will cross the 3,700 megawatts of production of both cells and modules.</t>
  </si>
  <si>
    <t>Our project in Bhutan, the 600 megawatts Khorlochhu project, the work has already started from 1 January, and we expect that by November ‘29, the project will be completed.</t>
  </si>
  <si>
    <t>70%; 1,000 megawatt; 1,800 megawatt</t>
  </si>
  <si>
    <t>And we do hope that our target to have nearly 70% clean and green energy by 2030 will be possible, not only with the renewables projects that we are setting up, but also the pumped hydro project where the work has already started in the 1,000 megawatts Bhivpuri project and work in 1,800 megawatts Shirawata pumped hydro will start in the later part of the year.</t>
  </si>
  <si>
    <t>We also have a very good pipeline of our renewables business where nearly 5.5 gigawatts of capacity will get added in the next six months to 24 months, where land for most of the projects have been acquired as also the connectivity.</t>
  </si>
  <si>
    <t>166 gigawatt</t>
  </si>
  <si>
    <t>We also in the quarter commissioned 166 gigawatts of capacity.</t>
  </si>
  <si>
    <t>2%; 270 gigawatt</t>
  </si>
  <si>
    <t>Though in the month of April we have only seen 2% growth, we do expect that this year the peak demand will increase to something like 270 gigawatts.</t>
  </si>
  <si>
    <t>And we expect that this year also the growth will be in the range of about 5%.</t>
  </si>
  <si>
    <t>90%</t>
  </si>
  <si>
    <t>Coming to our manufacturing of solar cell and module: The plant is now fully operational at Tirunelveli, and they are operating at more than 90% each.</t>
  </si>
  <si>
    <t>Q3FY25</t>
  </si>
  <si>
    <t>25%; 4.2 gigawatt; 5.2 gigawatt</t>
  </si>
  <si>
    <t>In spite of 25% of facility additions from 4.2 gigawatt to 5.2 gigawatt of commissioning, profitability growth hasn't been much.</t>
  </si>
  <si>
    <t>1.6 gigawatt</t>
  </si>
  <si>
    <t>There's another 1.6 gigawatts that we will be ordering.</t>
  </si>
  <si>
    <t>I mean you're probably going to do what is the plan for Q4, but it looks like you might just see about 1.2 to 1.3 gigawatts, any thoughts how to think about what's driving the slowness currently?</t>
  </si>
  <si>
    <t>And as Sanjeev mentioned, in FY '25 -- '26 and '27, about 2 to 2.5 gigawatt of renewable projects, which will be a mix of solar and wind that we will implement.</t>
  </si>
  <si>
    <t>20,000 crore</t>
  </si>
  <si>
    <t>The capex breakup of you say is roughly INR20,000 crores per annum that you've outlined?</t>
  </si>
  <si>
    <t>70%; 90%</t>
  </si>
  <si>
    <t>The efficiency of these plants has gone from 70% to 90%.</t>
  </si>
  <si>
    <t>250 crore</t>
  </si>
  <si>
    <t>So we had a target of hitting a INR250 crores kind of PAT level in the discom, except for CESU, all the other -- I mean South and West are particularly lagging.</t>
  </si>
  <si>
    <t>The second 2 gigawatts got commissioned in January.</t>
  </si>
  <si>
    <t>Rajesh Majumdar: So that means 1.3 gigawatt SJV and FDRE is going to get commissioned in FY '26.</t>
  </si>
  <si>
    <t>95%; 98%</t>
  </si>
  <si>
    <t>So that's the existing plan and the full benefit of operating it at more than 95% to 98% capacity will happen in the next financial year.</t>
  </si>
  <si>
    <t>We already also have now large in-house order book, where we have plans of adding more than 2 gigawatt per year.</t>
  </si>
  <si>
    <t>Praveer Sinha: As I mentioned to you, the 2 gigawatt cell line was commissioned in the month of November, that has got stabilized.</t>
  </si>
  <si>
    <t>12,000 crore</t>
  </si>
  <si>
    <t>During the last 9 months, we have spent capex of nearly INR12,000 crores, which was the total capex that we spent in the previous financial year.</t>
  </si>
  <si>
    <t>5%; 7%</t>
  </si>
  <si>
    <t>The best way to look is at the year to date number, which reflects the right position, and they're kind of in the range of 5% to 7% on EPC margin, which has always been our guidance.</t>
  </si>
  <si>
    <t>And our cell plant which was commissioned in the month of November, the first 2 gigawatt is now more or less stabilized.</t>
  </si>
  <si>
    <t>The second 2 gigawatt also has been commissioned in January and is under stabilization process.</t>
  </si>
  <si>
    <t>Considering that, we do expect that there will be a peak demand of nearly 265 to 270 gigawatt.</t>
  </si>
  <si>
    <t>And we have plans to spend another INR10,000 crores in this quarter.</t>
  </si>
  <si>
    <t>22,000 crore</t>
  </si>
  <si>
    <t>So we'll have end of the year total capex of nearly INR22,000 crores.</t>
  </si>
  <si>
    <t>70%</t>
  </si>
  <si>
    <t>As we move forward, we are committed to our overall goal that we will achieve 70% of clean energy by 2030.</t>
  </si>
  <si>
    <t>43%</t>
  </si>
  <si>
    <t>We are already at 43% and the various projects which are under implementation, we should be in a position to meet those targets.</t>
  </si>
  <si>
    <t>Q2FY25</t>
  </si>
  <si>
    <t>Praveer Sinha: We had said that our yearly run rate will be about 2 to 2.5 gigawatt and that's what we are working on.</t>
  </si>
  <si>
    <t>25%; 30%</t>
  </si>
  <si>
    <t>And hence right now we are not looking at an export, but yes when we fully ramp up, we can assume that 25% to 30% will be exported and rest will be used internally.</t>
  </si>
  <si>
    <t>437 crore</t>
  </si>
  <si>
    <t>437 crores which I assume is for Mundra plant.</t>
  </si>
  <si>
    <t>10%; 12%</t>
  </si>
  <si>
    <t>So ballpark, would you target around 10% to 12% of margin?</t>
  </si>
  <si>
    <t>21,668 megawatt</t>
  </si>
  <si>
    <t>So in terms of the project that we have, slide 9, where we have talked about total pipeline and further 21,668 megawatt that we have.</t>
  </si>
  <si>
    <t>1800 megawatt</t>
  </si>
  <si>
    <t>Satyadeep Jain: Given the 44-month timeline, it's safe to assume that this project will commission sometime in FY29 and maybe the other projects, we cannot use this cost as a benchmark for the remaining 1800 megawatt cost.</t>
  </si>
</sst>
</file>

<file path=xl/styles.xml><?xml version="1.0" encoding="utf-8"?>
<styleSheet xmlns="http://schemas.openxmlformats.org/spreadsheetml/2006/main">
  <numFmts count="7">
    <numFmt numFmtId="164" formatCode="#,##0"/>
    <numFmt numFmtId="165" formatCode="#,##0;(#,##0)"/>
    <numFmt numFmtId="166" formatCode="0.0%"/>
    <numFmt numFmtId="167" formatCode="0.000"/>
    <numFmt numFmtId="168" formatCode="0.0x"/>
    <numFmt numFmtId="169" formatCode="0.00"/>
    <numFmt numFmtId="170" formatCode="0.00;-0.00;&quot;OK&quot;"/>
  </numFmts>
  <fonts count="8">
    <font>
      <sz val="11"/>
      <color theme="1"/>
      <name val="Calibri"/>
      <family val="2"/>
      <scheme val="minor"/>
    </font>
    <font>
      <b/>
      <sz val="13"/>
      <color theme="1"/>
      <name val="Arial"/>
      <family val="2"/>
    </font>
    <font>
      <sz val="9"/>
      <color theme="1"/>
      <name val="Arial"/>
      <family val="2"/>
    </font>
    <font>
      <b/>
      <sz val="9"/>
      <color theme="1"/>
      <name val="Arial"/>
      <family val="2"/>
    </font>
    <font>
      <b/>
      <sz val="12"/>
      <color theme="1"/>
      <name val="Arial"/>
      <family val="2"/>
    </font>
    <font>
      <i/>
      <sz val="9"/>
      <color rgb="FF666666"/>
      <name val="Arial"/>
      <family val="2"/>
    </font>
    <font>
      <sz val="9"/>
      <color rgb="FF1F4E9E"/>
      <name val="Arial"/>
      <family val="2"/>
    </font>
    <font>
      <sz val="9"/>
      <color rgb="FF2E7D32"/>
      <name val="Arial"/>
      <family val="2"/>
    </font>
  </fonts>
  <fills count="3">
    <fill>
      <patternFill patternType="none"/>
    </fill>
    <fill>
      <patternFill patternType="gray125"/>
    </fill>
    <fill>
      <patternFill patternType="solid">
        <fgColor rgb="FFE8EEF4"/>
        <bgColor indexed="64"/>
      </patternFill>
    </fill>
  </fills>
  <borders count="3">
    <border>
      <left/>
      <right/>
      <top/>
      <bottom/>
      <diagonal/>
    </border>
    <border>
      <left/>
      <right/>
      <top/>
      <bottom style="thin">
        <color auto="1"/>
      </bottom>
      <diagonal/>
    </border>
    <border>
      <left/>
      <right/>
      <top style="thin">
        <color auto="1"/>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1" xfId="0" applyFont="1" applyBorder="1"/>
    <xf numFmtId="164" fontId="4" fillId="0" borderId="0" xfId="0" applyNumberFormat="1" applyFont="1"/>
    <xf numFmtId="165" fontId="2" fillId="0" borderId="0" xfId="0" applyNumberFormat="1" applyFont="1"/>
    <xf numFmtId="166" fontId="2" fillId="0" borderId="0" xfId="0" applyNumberFormat="1" applyFont="1"/>
    <xf numFmtId="0" fontId="5" fillId="0" borderId="0" xfId="0" applyFont="1"/>
    <xf numFmtId="166" fontId="6" fillId="0" borderId="0" xfId="0" applyNumberFormat="1" applyFont="1"/>
    <xf numFmtId="167" fontId="6" fillId="0" borderId="0" xfId="0" applyNumberFormat="1" applyFont="1"/>
    <xf numFmtId="164" fontId="6" fillId="0" borderId="0" xfId="0" applyNumberFormat="1" applyFont="1"/>
    <xf numFmtId="168" fontId="2" fillId="0" borderId="0" xfId="0" applyNumberFormat="1" applyFont="1"/>
    <xf numFmtId="0" fontId="3" fillId="2" borderId="0" xfId="0" applyFont="1" applyFill="1"/>
    <xf numFmtId="169" fontId="2" fillId="0" borderId="0" xfId="0" applyNumberFormat="1" applyFont="1"/>
    <xf numFmtId="165" fontId="3" fillId="0" borderId="2" xfId="0" applyNumberFormat="1" applyFont="1" applyBorder="1"/>
    <xf numFmtId="170" fontId="7" fillId="0" borderId="0" xfId="0" applyNumberFormat="1"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showGridLines="0" tabSelected="1" workbookViewId="0"/>
  </sheetViews>
  <sheetFormatPr defaultRowHeight="15"/>
  <cols>
    <col min="1" max="1" width="34.7109375" customWidth="1"/>
    <col min="2" max="2" width="16.7109375" customWidth="1"/>
  </cols>
  <sheetData>
    <row r="1" spans="1:2">
      <c r="A1" s="1" t="s">
        <v>168</v>
      </c>
    </row>
    <row r="3" spans="1:2">
      <c r="A3" s="2" t="s">
        <v>166</v>
      </c>
      <c r="B3" s="3">
        <f>DCF!$C$42</f>
        <v>0</v>
      </c>
    </row>
    <row r="4" spans="1:2">
      <c r="A4" s="2" t="s">
        <v>164</v>
      </c>
      <c r="B4" s="4">
        <f>DCF!$C$40</f>
        <v>0</v>
      </c>
    </row>
    <row r="5" spans="1:2">
      <c r="A5" s="2" t="s">
        <v>169</v>
      </c>
      <c r="B5" s="5">
        <f>Inputs!$C$15</f>
        <v>0</v>
      </c>
    </row>
    <row r="6" spans="1:2">
      <c r="A6" s="2" t="s">
        <v>170</v>
      </c>
      <c r="B6" s="6">
        <f>DCF!$C$41</f>
        <v>0</v>
      </c>
    </row>
    <row r="7" spans="1:2">
      <c r="A7" s="2" t="s">
        <v>171</v>
      </c>
      <c r="B7" s="5">
        <f>DCF!$C$34</f>
        <v>0</v>
      </c>
    </row>
    <row r="8" spans="1:2">
      <c r="A8" s="2" t="s">
        <v>172</v>
      </c>
      <c r="B8" s="5">
        <f>DCF!$C$36</f>
        <v>0</v>
      </c>
    </row>
    <row r="9" spans="1:2">
      <c r="A9" s="2" t="s">
        <v>173</v>
      </c>
      <c r="B9" s="5">
        <f>DCF!$C$38</f>
        <v>0</v>
      </c>
    </row>
    <row r="10" spans="1:2">
      <c r="A10" s="2" t="s">
        <v>139</v>
      </c>
      <c r="B10" s="6">
        <f>DCF!$C$11</f>
        <v>0</v>
      </c>
    </row>
    <row r="13" spans="1:2">
      <c r="A13" s="7" t="s">
        <v>174</v>
      </c>
    </row>
    <row r="14" spans="1:2">
      <c r="A14" s="7" t="s">
        <v>175</v>
      </c>
    </row>
    <row r="15" spans="1:2">
      <c r="A15" s="7"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0"/>
  <sheetViews>
    <sheetView showGridLines="0" workbookViewId="0"/>
  </sheetViews>
  <sheetFormatPr defaultRowHeight="15"/>
  <cols>
    <col min="1" max="1" width="34.7109375" customWidth="1"/>
    <col min="2" max="2" width="8.7109375" customWidth="1"/>
    <col min="3" max="3" width="14.7109375" customWidth="1"/>
    <col min="4" max="4" width="90.7109375" customWidth="1"/>
    <col min="5" max="17" width="11.7109375" customWidth="1"/>
  </cols>
  <sheetData>
    <row r="1" spans="1:4">
      <c r="A1" s="1" t="s">
        <v>0</v>
      </c>
    </row>
    <row r="3" spans="1:4">
      <c r="A3" s="3" t="s">
        <v>1</v>
      </c>
      <c r="B3" s="3"/>
      <c r="C3" s="3" t="s">
        <v>2</v>
      </c>
      <c r="D3" s="3" t="s">
        <v>3</v>
      </c>
    </row>
    <row r="4" spans="1:4">
      <c r="A4" s="2" t="s">
        <v>4</v>
      </c>
      <c r="C4" s="8">
        <v>0.0711</v>
      </c>
      <c r="D4" s="7" t="s">
        <v>5</v>
      </c>
    </row>
    <row r="5" spans="1:4">
      <c r="A5" s="2" t="s">
        <v>6</v>
      </c>
      <c r="C5" s="8">
        <v>0.0187</v>
      </c>
      <c r="D5" s="7" t="s">
        <v>7</v>
      </c>
    </row>
    <row r="6" spans="1:4">
      <c r="A6" s="2" t="s">
        <v>8</v>
      </c>
      <c r="C6" s="8">
        <v>0.0708</v>
      </c>
      <c r="D6" s="7" t="s">
        <v>9</v>
      </c>
    </row>
    <row r="7" spans="1:4">
      <c r="A7" s="2" t="s">
        <v>10</v>
      </c>
      <c r="C7" s="8">
        <v>0.25</v>
      </c>
      <c r="D7" s="7" t="s">
        <v>11</v>
      </c>
    </row>
    <row r="8" spans="1:4">
      <c r="A8" s="2" t="s">
        <v>12</v>
      </c>
      <c r="C8" s="9">
        <v>0.51</v>
      </c>
      <c r="D8" s="7" t="s">
        <v>13</v>
      </c>
    </row>
    <row r="9" spans="1:4">
      <c r="A9" s="2" t="s">
        <v>14</v>
      </c>
      <c r="C9" s="8">
        <v>0.5</v>
      </c>
      <c r="D9" s="7" t="s">
        <v>15</v>
      </c>
    </row>
    <row r="10" spans="1:4">
      <c r="A10" s="2" t="s">
        <v>16</v>
      </c>
      <c r="C10" s="10">
        <v>0</v>
      </c>
      <c r="D10" s="7" t="s">
        <v>17</v>
      </c>
    </row>
    <row r="11" spans="1:4">
      <c r="A11" s="2" t="s">
        <v>18</v>
      </c>
      <c r="C11" s="9">
        <v>1.111</v>
      </c>
      <c r="D11" s="7" t="s">
        <v>19</v>
      </c>
    </row>
    <row r="12" spans="1:4">
      <c r="A12" s="2" t="s">
        <v>20</v>
      </c>
      <c r="C12" s="8">
        <v>0.08</v>
      </c>
      <c r="D12" s="7" t="s">
        <v>21</v>
      </c>
    </row>
    <row r="13" spans="1:4">
      <c r="A13" s="2" t="s">
        <v>22</v>
      </c>
      <c r="C13" s="8">
        <v>0.05</v>
      </c>
      <c r="D13" s="7" t="s">
        <v>23</v>
      </c>
    </row>
    <row r="14" spans="1:4">
      <c r="A14" s="2" t="s">
        <v>24</v>
      </c>
      <c r="C14" s="8">
        <v>0.11</v>
      </c>
      <c r="D14" s="7"/>
    </row>
    <row r="15" spans="1:4">
      <c r="A15" s="2" t="s">
        <v>25</v>
      </c>
      <c r="C15" s="10">
        <v>367.5</v>
      </c>
      <c r="D15" s="7" t="s">
        <v>26</v>
      </c>
    </row>
    <row r="16" spans="1:4">
      <c r="A16" s="2" t="s">
        <v>27</v>
      </c>
      <c r="C16" s="9">
        <v>319.5339547</v>
      </c>
      <c r="D16" s="7" t="s">
        <v>28</v>
      </c>
    </row>
    <row r="17" spans="1:4">
      <c r="A17" s="2" t="s">
        <v>29</v>
      </c>
      <c r="C17" s="10">
        <v>5765.79</v>
      </c>
      <c r="D17" s="7" t="s">
        <v>30</v>
      </c>
    </row>
    <row r="18" spans="1:4">
      <c r="A18" s="2" t="s">
        <v>31</v>
      </c>
      <c r="C18" s="10">
        <v>8070.86</v>
      </c>
      <c r="D18" s="7" t="s">
        <v>30</v>
      </c>
    </row>
    <row r="19" spans="1:4">
      <c r="A19" s="2" t="s">
        <v>32</v>
      </c>
      <c r="C19" s="11">
        <v>14.93783638766443</v>
      </c>
      <c r="D19" s="7" t="s">
        <v>33</v>
      </c>
    </row>
    <row r="20" spans="1:4">
      <c r="A20" s="2" t="s">
        <v>34</v>
      </c>
      <c r="C20" s="8">
        <v>0.75</v>
      </c>
      <c r="D20" s="7" t="s">
        <v>35</v>
      </c>
    </row>
    <row r="21" spans="1:4">
      <c r="A21" s="2" t="s">
        <v>36</v>
      </c>
      <c r="C21" s="8">
        <v>0.5</v>
      </c>
      <c r="D21" s="7" t="s">
        <v>37</v>
      </c>
    </row>
    <row r="22" spans="1:4">
      <c r="A22" s="2" t="s">
        <v>38</v>
      </c>
      <c r="C22" s="9">
        <v>6</v>
      </c>
      <c r="D22" s="7"/>
    </row>
    <row r="23" spans="1:4">
      <c r="A23" s="2" t="s">
        <v>39</v>
      </c>
      <c r="C23" s="8">
        <v>0.27</v>
      </c>
      <c r="D23" s="7"/>
    </row>
    <row r="24" spans="1:4">
      <c r="A24" s="2" t="s">
        <v>40</v>
      </c>
      <c r="C24" s="9">
        <v>3.2</v>
      </c>
      <c r="D24" s="7"/>
    </row>
    <row r="25" spans="1:4">
      <c r="A25" s="2" t="s">
        <v>41</v>
      </c>
      <c r="C25" s="8">
        <v>0.88</v>
      </c>
      <c r="D25" s="7"/>
    </row>
    <row r="26" spans="1:4">
      <c r="A26" s="2" t="s">
        <v>42</v>
      </c>
      <c r="C26" s="10">
        <v>0</v>
      </c>
      <c r="D26" s="7"/>
    </row>
    <row r="27" spans="1:4">
      <c r="A27" s="2" t="s">
        <v>43</v>
      </c>
      <c r="C27" s="10">
        <v>1144.166666666667</v>
      </c>
      <c r="D27" s="7" t="s">
        <v>44</v>
      </c>
    </row>
    <row r="28" spans="1:4">
      <c r="A28" s="2" t="s">
        <v>45</v>
      </c>
      <c r="C28" s="10">
        <v>0</v>
      </c>
      <c r="D28" s="7" t="s">
        <v>46</v>
      </c>
    </row>
    <row r="29" spans="1:4">
      <c r="A29" s="2" t="s">
        <v>47</v>
      </c>
      <c r="C29" s="8">
        <v>0</v>
      </c>
      <c r="D29" s="7"/>
    </row>
    <row r="30" spans="1:4">
      <c r="A30" s="2" t="s">
        <v>48</v>
      </c>
      <c r="C30" s="8">
        <v>0.05</v>
      </c>
      <c r="D30" s="7"/>
    </row>
    <row r="31" spans="1:4">
      <c r="A31" s="2" t="s">
        <v>49</v>
      </c>
      <c r="C31" s="8">
        <v>0.061</v>
      </c>
      <c r="D31" s="7"/>
    </row>
    <row r="32" spans="1:4">
      <c r="A32" s="2" t="s">
        <v>50</v>
      </c>
      <c r="C32" s="8">
        <v>0.5</v>
      </c>
      <c r="D32" s="7"/>
    </row>
    <row r="33" spans="1:4">
      <c r="A33" s="2" t="s">
        <v>51</v>
      </c>
      <c r="C33" s="8">
        <v>0.6</v>
      </c>
      <c r="D33" s="7"/>
    </row>
    <row r="34" spans="1:4">
      <c r="A34" s="2" t="s">
        <v>52</v>
      </c>
      <c r="C34" s="8">
        <v>0.076</v>
      </c>
      <c r="D34" s="7"/>
    </row>
    <row r="35" spans="1:4">
      <c r="A35" s="2" t="s">
        <v>53</v>
      </c>
      <c r="C35" s="8">
        <v>0.21</v>
      </c>
      <c r="D35" s="7" t="s">
        <v>54</v>
      </c>
    </row>
    <row r="36" spans="1:4">
      <c r="A36" s="2" t="s">
        <v>55</v>
      </c>
      <c r="C36" s="8">
        <v>0.9</v>
      </c>
      <c r="D36" s="7"/>
    </row>
    <row r="37" spans="1:4">
      <c r="A37" s="2" t="s">
        <v>56</v>
      </c>
      <c r="C37" s="8">
        <v>0.8100000000000001</v>
      </c>
      <c r="D37" s="7"/>
    </row>
    <row r="38" spans="1:4">
      <c r="A38" s="2" t="s">
        <v>57</v>
      </c>
      <c r="C38" s="8">
        <v>0.05</v>
      </c>
      <c r="D38" s="7"/>
    </row>
    <row r="39" spans="1:4">
      <c r="A39" s="2" t="s">
        <v>58</v>
      </c>
      <c r="C39" s="8">
        <v>0.04</v>
      </c>
      <c r="D39" s="7" t="s">
        <v>59</v>
      </c>
    </row>
    <row r="40" spans="1:4">
      <c r="A40" s="2" t="s">
        <v>60</v>
      </c>
      <c r="C40" s="8">
        <v>0.12</v>
      </c>
      <c r="D40"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56"/>
  <sheetViews>
    <sheetView showGridLines="0"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34.7109375" customWidth="1"/>
    <col min="2" max="2" width="8.7109375" customWidth="1"/>
    <col min="3" max="17" width="11.7109375" customWidth="1"/>
  </cols>
  <sheetData>
    <row r="1" spans="1:17">
      <c r="A1" s="1" t="s">
        <v>61</v>
      </c>
    </row>
    <row r="3" spans="1:17">
      <c r="A3" s="3"/>
      <c r="B3" s="3"/>
      <c r="C3" s="3" t="s">
        <v>62</v>
      </c>
      <c r="D3" s="3" t="s">
        <v>63</v>
      </c>
      <c r="E3" s="3" t="s">
        <v>64</v>
      </c>
      <c r="F3" s="3" t="s">
        <v>65</v>
      </c>
      <c r="G3" s="3" t="s">
        <v>66</v>
      </c>
      <c r="H3" s="3" t="s">
        <v>67</v>
      </c>
      <c r="I3" s="3" t="s">
        <v>68</v>
      </c>
      <c r="J3" s="3" t="s">
        <v>69</v>
      </c>
      <c r="K3" s="3" t="s">
        <v>70</v>
      </c>
      <c r="L3" s="3" t="s">
        <v>71</v>
      </c>
      <c r="M3" s="3" t="s">
        <v>72</v>
      </c>
      <c r="N3" s="3" t="s">
        <v>73</v>
      </c>
      <c r="O3" s="3" t="s">
        <v>74</v>
      </c>
      <c r="P3" s="3" t="s">
        <v>75</v>
      </c>
      <c r="Q3" s="3" t="s">
        <v>76</v>
      </c>
    </row>
    <row r="4" spans="1:17">
      <c r="A4" s="12" t="s">
        <v>77</v>
      </c>
      <c r="B4" s="12"/>
      <c r="C4" s="12"/>
      <c r="D4" s="12"/>
      <c r="E4" s="12"/>
      <c r="F4" s="12"/>
      <c r="G4" s="12"/>
      <c r="H4" s="12"/>
      <c r="I4" s="12"/>
      <c r="J4" s="12"/>
      <c r="K4" s="12"/>
      <c r="L4" s="12"/>
      <c r="M4" s="12"/>
      <c r="N4" s="12"/>
      <c r="O4" s="12"/>
      <c r="P4" s="12"/>
      <c r="Q4" s="12"/>
    </row>
    <row r="5" spans="1:17">
      <c r="A5" s="2" t="s">
        <v>83</v>
      </c>
      <c r="H5" s="10">
        <v>25000</v>
      </c>
      <c r="I5" s="10">
        <v>25000</v>
      </c>
      <c r="J5" s="10">
        <v>25000</v>
      </c>
      <c r="K5" s="10">
        <v>25000</v>
      </c>
      <c r="L5" s="10">
        <v>25000</v>
      </c>
      <c r="M5" s="10">
        <v>25000</v>
      </c>
      <c r="N5" s="10">
        <v>25000</v>
      </c>
      <c r="O5" s="10">
        <v>25000</v>
      </c>
      <c r="P5" s="10">
        <v>25000</v>
      </c>
      <c r="Q5" s="10">
        <v>25000</v>
      </c>
    </row>
    <row r="6" spans="1:17">
      <c r="A6" s="2" t="s">
        <v>84</v>
      </c>
      <c r="C6" s="5">
        <v>9697</v>
      </c>
      <c r="D6" s="5">
        <v>8538</v>
      </c>
      <c r="E6" s="5">
        <v>15434</v>
      </c>
      <c r="F6" s="5">
        <v>16399</v>
      </c>
      <c r="G6" s="5">
        <v>15646</v>
      </c>
      <c r="H6" s="5">
        <f>H5*Inputs!$C$20</f>
        <v>0</v>
      </c>
      <c r="I6" s="5">
        <f>I5*Inputs!$C$20</f>
        <v>0</v>
      </c>
      <c r="J6" s="5">
        <f>J5*Inputs!$C$20</f>
        <v>0</v>
      </c>
      <c r="K6" s="5">
        <f>K5*Inputs!$C$20</f>
        <v>0</v>
      </c>
      <c r="L6" s="5">
        <f>L5*Inputs!$C$20</f>
        <v>0</v>
      </c>
      <c r="M6" s="5">
        <f>M5*Inputs!$C$20</f>
        <v>0</v>
      </c>
      <c r="N6" s="5">
        <f>N5*Inputs!$C$20</f>
        <v>0</v>
      </c>
      <c r="O6" s="5">
        <f>O5*Inputs!$C$20</f>
        <v>0</v>
      </c>
      <c r="P6" s="5">
        <f>P5*Inputs!$C$20</f>
        <v>0</v>
      </c>
      <c r="Q6" s="5">
        <f>Q5*Inputs!$C$20</f>
        <v>0</v>
      </c>
    </row>
    <row r="7" spans="1:17">
      <c r="A7" s="2" t="s">
        <v>85</v>
      </c>
      <c r="C7" s="5">
        <v>8332</v>
      </c>
      <c r="D7" s="5">
        <v>7797</v>
      </c>
      <c r="E7" s="5">
        <v>9249</v>
      </c>
      <c r="F7" s="5">
        <v>15281</v>
      </c>
      <c r="G7" s="5">
        <v>13730</v>
      </c>
      <c r="H7" s="5">
        <f>(G33+H6)*Inputs!$C$32</f>
        <v>0</v>
      </c>
      <c r="I7" s="5">
        <f>(H33+I6)*Inputs!$C$32</f>
        <v>0</v>
      </c>
      <c r="J7" s="5">
        <f>(I33+J6)*Inputs!$C$32</f>
        <v>0</v>
      </c>
      <c r="K7" s="5">
        <f>(J33+K6)*Inputs!$C$32</f>
        <v>0</v>
      </c>
      <c r="L7" s="5">
        <f>(K33+L6)*Inputs!$C$32</f>
        <v>0</v>
      </c>
      <c r="M7" s="5">
        <f>(L33+M6)*Inputs!$C$32</f>
        <v>0</v>
      </c>
      <c r="N7" s="5">
        <f>(M33+N6)*Inputs!$C$32</f>
        <v>0</v>
      </c>
      <c r="O7" s="5">
        <f>(N33+O6)*Inputs!$C$32</f>
        <v>0</v>
      </c>
      <c r="P7" s="5">
        <f>(O33+P6)*Inputs!$C$32</f>
        <v>0</v>
      </c>
      <c r="Q7" s="5">
        <f>(P33+Q6)*Inputs!$C$32</f>
        <v>0</v>
      </c>
    </row>
    <row r="8" spans="1:17">
      <c r="A8" s="2" t="s">
        <v>86</v>
      </c>
      <c r="G8" s="5">
        <f>G7*Inputs!$C$21</f>
        <v>0</v>
      </c>
      <c r="H8" s="5">
        <f>H7*Inputs!$C$21</f>
        <v>0</v>
      </c>
      <c r="I8" s="5">
        <f>I7*Inputs!$C$21</f>
        <v>0</v>
      </c>
      <c r="J8" s="5">
        <f>J7*Inputs!$C$21</f>
        <v>0</v>
      </c>
      <c r="K8" s="5">
        <f>K7*Inputs!$C$21</f>
        <v>0</v>
      </c>
      <c r="L8" s="5">
        <f>L7*Inputs!$C$21</f>
        <v>0</v>
      </c>
      <c r="M8" s="5">
        <f>M7*Inputs!$C$21</f>
        <v>0</v>
      </c>
      <c r="N8" s="5">
        <f>N7*Inputs!$C$21</f>
        <v>0</v>
      </c>
      <c r="O8" s="5">
        <f>O7*Inputs!$C$21</f>
        <v>0</v>
      </c>
      <c r="P8" s="5">
        <f>P7*Inputs!$C$21</f>
        <v>0</v>
      </c>
      <c r="Q8" s="5">
        <f>Q7*Inputs!$C$21</f>
        <v>0</v>
      </c>
    </row>
    <row r="9" spans="1:17">
      <c r="A9" s="2" t="s">
        <v>87</v>
      </c>
      <c r="G9" s="5">
        <f>G7-G8</f>
        <v>0</v>
      </c>
      <c r="H9" s="5">
        <f>H7-H8</f>
        <v>0</v>
      </c>
      <c r="I9" s="5">
        <f>I7-I8</f>
        <v>0</v>
      </c>
      <c r="J9" s="5">
        <f>J7-J8</f>
        <v>0</v>
      </c>
      <c r="K9" s="5">
        <f>K7-K8</f>
        <v>0</v>
      </c>
      <c r="L9" s="5">
        <f>L7-L8</f>
        <v>0</v>
      </c>
      <c r="M9" s="5">
        <f>M7-M8</f>
        <v>0</v>
      </c>
      <c r="N9" s="5">
        <f>N7-N8</f>
        <v>0</v>
      </c>
      <c r="O9" s="5">
        <f>O7-O8</f>
        <v>0</v>
      </c>
      <c r="P9" s="5">
        <f>P7-P8</f>
        <v>0</v>
      </c>
      <c r="Q9" s="5">
        <f>Q7-Q8</f>
        <v>0</v>
      </c>
    </row>
    <row r="10" spans="1:17">
      <c r="A10" s="12" t="s">
        <v>78</v>
      </c>
      <c r="B10" s="12"/>
      <c r="C10" s="12"/>
      <c r="D10" s="12"/>
      <c r="E10" s="12"/>
      <c r="F10" s="12"/>
      <c r="G10" s="12"/>
      <c r="H10" s="12"/>
      <c r="I10" s="12"/>
      <c r="J10" s="12"/>
      <c r="K10" s="12"/>
      <c r="L10" s="12"/>
      <c r="M10" s="12"/>
      <c r="N10" s="12"/>
      <c r="O10" s="12"/>
      <c r="P10" s="12"/>
      <c r="Q10" s="12"/>
    </row>
    <row r="11" spans="1:17">
      <c r="A11" s="2" t="s">
        <v>88</v>
      </c>
      <c r="G11" s="5">
        <f>Inputs!$C$27</f>
        <v>0</v>
      </c>
      <c r="H11" s="5">
        <f>G11+H8/Inputs!$C$22</f>
        <v>0</v>
      </c>
      <c r="I11" s="5">
        <f>H11+I8/Inputs!$C$22</f>
        <v>0</v>
      </c>
      <c r="J11" s="5">
        <f>I11+J8/Inputs!$C$22</f>
        <v>0</v>
      </c>
      <c r="K11" s="5">
        <f>J11+K8/Inputs!$C$22</f>
        <v>0</v>
      </c>
      <c r="L11" s="5">
        <f>K11+L8/Inputs!$C$22</f>
        <v>0</v>
      </c>
      <c r="M11" s="5">
        <f>L11+M8/Inputs!$C$22</f>
        <v>0</v>
      </c>
      <c r="N11" s="5">
        <f>M11+N8/Inputs!$C$22</f>
        <v>0</v>
      </c>
      <c r="O11" s="5">
        <f>N11+O8/Inputs!$C$22</f>
        <v>0</v>
      </c>
      <c r="P11" s="5">
        <f>O11+P8/Inputs!$C$22</f>
        <v>0</v>
      </c>
      <c r="Q11" s="5">
        <f>P11+Q8/Inputs!$C$22</f>
        <v>0</v>
      </c>
    </row>
    <row r="12" spans="1:17">
      <c r="A12" s="2" t="s">
        <v>89</v>
      </c>
      <c r="G12" s="5">
        <f>(Inputs!$C$26+Inputs!$C$27)/2*Inputs!$C$23*0.876*Inputs!$C$24</f>
        <v>0</v>
      </c>
      <c r="H12" s="5">
        <f>(G11+H11)/2*Inputs!$C$23*0.876*Inputs!$C$24</f>
        <v>0</v>
      </c>
      <c r="I12" s="5">
        <f>(H11+I11)/2*Inputs!$C$23*0.876*Inputs!$C$24</f>
        <v>0</v>
      </c>
      <c r="J12" s="5">
        <f>(I11+J11)/2*Inputs!$C$23*0.876*Inputs!$C$24</f>
        <v>0</v>
      </c>
      <c r="K12" s="5">
        <f>(J11+K11)/2*Inputs!$C$23*0.876*Inputs!$C$24</f>
        <v>0</v>
      </c>
      <c r="L12" s="5">
        <f>(K11+L11)/2*Inputs!$C$23*0.876*Inputs!$C$24</f>
        <v>0</v>
      </c>
      <c r="M12" s="5">
        <f>(L11+M11)/2*Inputs!$C$23*0.876*Inputs!$C$24</f>
        <v>0</v>
      </c>
      <c r="N12" s="5">
        <f>(M11+N11)/2*Inputs!$C$23*0.876*Inputs!$C$24</f>
        <v>0</v>
      </c>
      <c r="O12" s="5">
        <f>(N11+O11)/2*Inputs!$C$23*0.876*Inputs!$C$24</f>
        <v>0</v>
      </c>
      <c r="P12" s="5">
        <f>(O11+P11)/2*Inputs!$C$23*0.876*Inputs!$C$24</f>
        <v>0</v>
      </c>
      <c r="Q12" s="5">
        <f>(P11+Q11)/2*Inputs!$C$23*0.876*Inputs!$C$24</f>
        <v>0</v>
      </c>
    </row>
    <row r="13" spans="1:17">
      <c r="A13" s="2" t="s">
        <v>90</v>
      </c>
      <c r="G13" s="5">
        <f>G12*Inputs!$C$25</f>
        <v>0</v>
      </c>
      <c r="H13" s="5">
        <f>H12*Inputs!$C$25</f>
        <v>0</v>
      </c>
      <c r="I13" s="5">
        <f>I12*Inputs!$C$25</f>
        <v>0</v>
      </c>
      <c r="J13" s="5">
        <f>J12*Inputs!$C$25</f>
        <v>0</v>
      </c>
      <c r="K13" s="5">
        <f>K12*Inputs!$C$25</f>
        <v>0</v>
      </c>
      <c r="L13" s="5">
        <f>L12*Inputs!$C$25</f>
        <v>0</v>
      </c>
      <c r="M13" s="5">
        <f>M12*Inputs!$C$25</f>
        <v>0</v>
      </c>
      <c r="N13" s="5">
        <f>N12*Inputs!$C$25</f>
        <v>0</v>
      </c>
      <c r="O13" s="5">
        <f>O12*Inputs!$C$25</f>
        <v>0</v>
      </c>
      <c r="P13" s="5">
        <f>P12*Inputs!$C$25</f>
        <v>0</v>
      </c>
      <c r="Q13" s="5">
        <f>Q12*Inputs!$C$25</f>
        <v>0</v>
      </c>
    </row>
    <row r="14" spans="1:17">
      <c r="A14" s="2" t="s">
        <v>91</v>
      </c>
    </row>
    <row r="15" spans="1:17">
      <c r="A15" s="2" t="s">
        <v>92</v>
      </c>
      <c r="G15" s="5">
        <f>G16-G13</f>
        <v>0</v>
      </c>
      <c r="H15" s="5">
        <f>G15*(1+Inputs!$C$39)+Inputs!$C$40*0.5*(G9+H9)</f>
        <v>0</v>
      </c>
      <c r="I15" s="5">
        <f>H15*(1+Inputs!$C$39)+Inputs!$C$40*0.5*(H9+I9)</f>
        <v>0</v>
      </c>
      <c r="J15" s="5">
        <f>I15*(1+Inputs!$C$39)+Inputs!$C$40*0.5*(I9+J9)</f>
        <v>0</v>
      </c>
      <c r="K15" s="5">
        <f>J15*(1+Inputs!$C$39)+Inputs!$C$40*0.5*(J9+K9)</f>
        <v>0</v>
      </c>
      <c r="L15" s="5">
        <f>K15*(1+Inputs!$C$39)+Inputs!$C$40*0.5*(K9+L9)</f>
        <v>0</v>
      </c>
      <c r="M15" s="5">
        <f>L15*(1+Inputs!$C$39)+Inputs!$C$40*0.5*(L9+M9)</f>
        <v>0</v>
      </c>
      <c r="N15" s="5">
        <f>M15*(1+Inputs!$C$39)+Inputs!$C$40*0.5*(M9+N9)</f>
        <v>0</v>
      </c>
      <c r="O15" s="5">
        <f>N15*(1+Inputs!$C$39)+Inputs!$C$40*0.5*(N9+O9)</f>
        <v>0</v>
      </c>
      <c r="P15" s="5">
        <f>O15*(1+Inputs!$C$39)+Inputs!$C$40*0.5*(O9+P9)</f>
        <v>0</v>
      </c>
      <c r="Q15" s="5">
        <f>P15*(1+Inputs!$C$39)+Inputs!$C$40*0.5*(P9+Q9)</f>
        <v>0</v>
      </c>
    </row>
    <row r="16" spans="1:17">
      <c r="A16" s="2" t="s">
        <v>93</v>
      </c>
      <c r="C16" s="5">
        <v>7031</v>
      </c>
      <c r="D16" s="5">
        <v>7728</v>
      </c>
      <c r="E16" s="5">
        <v>10735</v>
      </c>
      <c r="F16" s="5">
        <v>12450</v>
      </c>
      <c r="G16" s="5">
        <v>13271</v>
      </c>
      <c r="H16" s="5">
        <f>H15+H13</f>
        <v>0</v>
      </c>
      <c r="I16" s="5">
        <f>I15+I13</f>
        <v>0</v>
      </c>
      <c r="J16" s="5">
        <f>J15+J13</f>
        <v>0</v>
      </c>
      <c r="K16" s="5">
        <f>K15+K13</f>
        <v>0</v>
      </c>
      <c r="L16" s="5">
        <f>L15+L13</f>
        <v>0</v>
      </c>
      <c r="M16" s="5">
        <f>M15+M13</f>
        <v>0</v>
      </c>
      <c r="N16" s="5">
        <f>N15+N13</f>
        <v>0</v>
      </c>
      <c r="O16" s="5">
        <f>O15+O13</f>
        <v>0</v>
      </c>
      <c r="P16" s="5">
        <f>P15+P13</f>
        <v>0</v>
      </c>
      <c r="Q16" s="5">
        <f>Q15+Q13</f>
        <v>0</v>
      </c>
    </row>
    <row r="17" spans="1:17">
      <c r="A17" s="2" t="s">
        <v>94</v>
      </c>
      <c r="C17" s="6">
        <f>C16/C19</f>
        <v>0</v>
      </c>
      <c r="D17" s="6">
        <f>D16/D19</f>
        <v>0</v>
      </c>
      <c r="E17" s="6">
        <f>E16/E19</f>
        <v>0</v>
      </c>
      <c r="F17" s="6">
        <f>F16/F19</f>
        <v>0</v>
      </c>
      <c r="G17" s="6">
        <f>G16/G19</f>
        <v>0</v>
      </c>
      <c r="H17" s="6">
        <f>H16/H19</f>
        <v>0</v>
      </c>
      <c r="I17" s="6">
        <f>I16/I19</f>
        <v>0</v>
      </c>
      <c r="J17" s="6">
        <f>J16/J19</f>
        <v>0</v>
      </c>
      <c r="K17" s="6">
        <f>K16/K19</f>
        <v>0</v>
      </c>
      <c r="L17" s="6">
        <f>L16/L19</f>
        <v>0</v>
      </c>
      <c r="M17" s="6">
        <f>M16/M19</f>
        <v>0</v>
      </c>
      <c r="N17" s="6">
        <f>N16/N19</f>
        <v>0</v>
      </c>
      <c r="O17" s="6">
        <f>O16/O19</f>
        <v>0</v>
      </c>
      <c r="P17" s="6">
        <f>P16/P19</f>
        <v>0</v>
      </c>
      <c r="Q17" s="6">
        <f>Q16/Q19</f>
        <v>0</v>
      </c>
    </row>
    <row r="18" spans="1:17">
      <c r="A18" s="12" t="s">
        <v>79</v>
      </c>
      <c r="B18" s="12"/>
      <c r="C18" s="12"/>
      <c r="D18" s="12"/>
      <c r="E18" s="12"/>
      <c r="F18" s="12"/>
      <c r="G18" s="12"/>
      <c r="H18" s="12"/>
      <c r="I18" s="12"/>
      <c r="J18" s="12"/>
      <c r="K18" s="12"/>
      <c r="L18" s="12"/>
      <c r="M18" s="12"/>
      <c r="N18" s="12"/>
      <c r="O18" s="12"/>
      <c r="P18" s="12"/>
      <c r="Q18" s="12"/>
    </row>
    <row r="19" spans="1:17">
      <c r="A19" s="2" t="s">
        <v>95</v>
      </c>
      <c r="C19" s="5">
        <v>42816</v>
      </c>
      <c r="D19" s="5">
        <v>55109</v>
      </c>
      <c r="E19" s="5">
        <v>61449</v>
      </c>
      <c r="F19" s="5">
        <v>65478</v>
      </c>
      <c r="G19" s="5">
        <v>62429</v>
      </c>
      <c r="H19" s="5">
        <f>H15/($G$15/($G$19-$G$12))+H12</f>
        <v>0</v>
      </c>
      <c r="I19" s="5">
        <f>I15/($G$15/($G$19-$G$12))+I12</f>
        <v>0</v>
      </c>
      <c r="J19" s="5">
        <f>J15/($G$15/($G$19-$G$12))+J12</f>
        <v>0</v>
      </c>
      <c r="K19" s="5">
        <f>K15/($G$15/($G$19-$G$12))+K12</f>
        <v>0</v>
      </c>
      <c r="L19" s="5">
        <f>L15/($G$15/($G$19-$G$12))+L12</f>
        <v>0</v>
      </c>
      <c r="M19" s="5">
        <f>M15/($G$15/($G$19-$G$12))+M12</f>
        <v>0</v>
      </c>
      <c r="N19" s="5">
        <f>N15/($G$15/($G$19-$G$12))+N12</f>
        <v>0</v>
      </c>
      <c r="O19" s="5">
        <f>O15/($G$15/($G$19-$G$12))+O12</f>
        <v>0</v>
      </c>
      <c r="P19" s="5">
        <f>P15/($G$15/($G$19-$G$12))+P12</f>
        <v>0</v>
      </c>
      <c r="Q19" s="5">
        <f>Q15/($G$15/($G$19-$G$12))+Q12</f>
        <v>0</v>
      </c>
    </row>
    <row r="20" spans="1:17">
      <c r="A20" s="2" t="s">
        <v>96</v>
      </c>
      <c r="C20" s="5">
        <v>2486</v>
      </c>
      <c r="D20" s="5">
        <v>5540</v>
      </c>
      <c r="E20" s="5">
        <v>3416</v>
      </c>
      <c r="F20" s="5">
        <v>2689</v>
      </c>
      <c r="G20" s="5">
        <v>3433</v>
      </c>
      <c r="H20" s="5">
        <f>H19*Inputs!$C$30</f>
        <v>0</v>
      </c>
      <c r="I20" s="5">
        <f>I19*Inputs!$C$30</f>
        <v>0</v>
      </c>
      <c r="J20" s="5">
        <f>J19*Inputs!$C$30</f>
        <v>0</v>
      </c>
      <c r="K20" s="5">
        <f>K19*Inputs!$C$30</f>
        <v>0</v>
      </c>
      <c r="L20" s="5">
        <f>L19*Inputs!$C$30</f>
        <v>0</v>
      </c>
      <c r="M20" s="5">
        <f>M19*Inputs!$C$30</f>
        <v>0</v>
      </c>
      <c r="N20" s="5">
        <f>N19*Inputs!$C$30</f>
        <v>0</v>
      </c>
      <c r="O20" s="5">
        <f>O19*Inputs!$C$30</f>
        <v>0</v>
      </c>
      <c r="P20" s="5">
        <f>P19*Inputs!$C$30</f>
        <v>0</v>
      </c>
      <c r="Q20" s="5">
        <f>Q19*Inputs!$C$30</f>
        <v>0</v>
      </c>
    </row>
    <row r="21" spans="1:17">
      <c r="A21" s="2" t="s">
        <v>97</v>
      </c>
      <c r="C21" s="5">
        <v>3122</v>
      </c>
      <c r="D21" s="5">
        <v>3439</v>
      </c>
      <c r="E21" s="5">
        <v>3786</v>
      </c>
      <c r="F21" s="5">
        <v>4117</v>
      </c>
      <c r="G21" s="5">
        <v>4811</v>
      </c>
      <c r="H21" s="5">
        <f>G32*Inputs!$C$31</f>
        <v>0</v>
      </c>
      <c r="I21" s="5">
        <f>H32*Inputs!$C$31</f>
        <v>0</v>
      </c>
      <c r="J21" s="5">
        <f>I32*Inputs!$C$31</f>
        <v>0</v>
      </c>
      <c r="K21" s="5">
        <f>J32*Inputs!$C$31</f>
        <v>0</v>
      </c>
      <c r="L21" s="5">
        <f>K32*Inputs!$C$31</f>
        <v>0</v>
      </c>
      <c r="M21" s="5">
        <f>L32*Inputs!$C$31</f>
        <v>0</v>
      </c>
      <c r="N21" s="5">
        <f>M32*Inputs!$C$31</f>
        <v>0</v>
      </c>
      <c r="O21" s="5">
        <f>N32*Inputs!$C$31</f>
        <v>0</v>
      </c>
      <c r="P21" s="5">
        <f>O32*Inputs!$C$31</f>
        <v>0</v>
      </c>
      <c r="Q21" s="5">
        <f>P32*Inputs!$C$31</f>
        <v>0</v>
      </c>
    </row>
    <row r="22" spans="1:17">
      <c r="A22" s="2" t="s">
        <v>98</v>
      </c>
      <c r="C22" s="5">
        <v>3859</v>
      </c>
      <c r="D22" s="5">
        <v>4372</v>
      </c>
      <c r="E22" s="5">
        <v>4633</v>
      </c>
      <c r="F22" s="5">
        <v>4702</v>
      </c>
      <c r="G22" s="5">
        <v>5257</v>
      </c>
      <c r="H22" s="5">
        <f>(G41+H41)/2*Inputs!$C$34+G42*Inputs!$C$34</f>
        <v>0</v>
      </c>
      <c r="I22" s="5">
        <f>(H41+I41)/2*Inputs!$C$34+H42*Inputs!$C$34</f>
        <v>0</v>
      </c>
      <c r="J22" s="5">
        <f>(I41+J41)/2*Inputs!$C$34+I42*Inputs!$C$34</f>
        <v>0</v>
      </c>
      <c r="K22" s="5">
        <f>(J41+K41)/2*Inputs!$C$34+J42*Inputs!$C$34</f>
        <v>0</v>
      </c>
      <c r="L22" s="5">
        <f>(K41+L41)/2*Inputs!$C$34+K42*Inputs!$C$34</f>
        <v>0</v>
      </c>
      <c r="M22" s="5">
        <f>(L41+M41)/2*Inputs!$C$34+L42*Inputs!$C$34</f>
        <v>0</v>
      </c>
      <c r="N22" s="5">
        <f>(M41+N41)/2*Inputs!$C$34+M42*Inputs!$C$34</f>
        <v>0</v>
      </c>
      <c r="O22" s="5">
        <f>(N41+O41)/2*Inputs!$C$34+N42*Inputs!$C$34</f>
        <v>0</v>
      </c>
      <c r="P22" s="5">
        <f>(O41+P41)/2*Inputs!$C$34+O42*Inputs!$C$34</f>
        <v>0</v>
      </c>
      <c r="Q22" s="5">
        <f>(P41+Q41)/2*Inputs!$C$34+P42*Inputs!$C$34</f>
        <v>0</v>
      </c>
    </row>
    <row r="23" spans="1:17">
      <c r="A23" s="2" t="s">
        <v>99</v>
      </c>
      <c r="C23" s="5">
        <v>2535</v>
      </c>
      <c r="D23" s="5">
        <v>5457</v>
      </c>
      <c r="E23" s="5">
        <v>5732</v>
      </c>
      <c r="F23" s="5">
        <v>6320</v>
      </c>
      <c r="G23" s="5">
        <v>6636</v>
      </c>
      <c r="H23" s="5">
        <f>H16+H20-H21-H22</f>
        <v>0</v>
      </c>
      <c r="I23" s="5">
        <f>I16+I20-I21-I22</f>
        <v>0</v>
      </c>
      <c r="J23" s="5">
        <f>J16+J20-J21-J22</f>
        <v>0</v>
      </c>
      <c r="K23" s="5">
        <f>K16+K20-K21-K22</f>
        <v>0</v>
      </c>
      <c r="L23" s="5">
        <f>L16+L20-L21-L22</f>
        <v>0</v>
      </c>
      <c r="M23" s="5">
        <f>M16+M20-M21-M22</f>
        <v>0</v>
      </c>
      <c r="N23" s="5">
        <f>N16+N20-N21-N22</f>
        <v>0</v>
      </c>
      <c r="O23" s="5">
        <f>O16+O20-O21-O22</f>
        <v>0</v>
      </c>
      <c r="P23" s="5">
        <f>P16+P20-P21-P22</f>
        <v>0</v>
      </c>
      <c r="Q23" s="5">
        <f>Q16+Q20-Q21-Q22</f>
        <v>0</v>
      </c>
    </row>
    <row r="24" spans="1:17">
      <c r="A24" s="2" t="s">
        <v>100</v>
      </c>
      <c r="C24" s="5">
        <v>379</v>
      </c>
      <c r="D24" s="5">
        <v>1647</v>
      </c>
      <c r="E24" s="5">
        <v>1452</v>
      </c>
      <c r="F24" s="5">
        <v>1545</v>
      </c>
      <c r="G24" s="5">
        <v>1518</v>
      </c>
      <c r="H24" s="5">
        <f>MAX(H23,0)*Inputs!$C$7</f>
        <v>0</v>
      </c>
      <c r="I24" s="5">
        <f>MAX(I23,0)*Inputs!$C$7</f>
        <v>0</v>
      </c>
      <c r="J24" s="5">
        <f>MAX(J23,0)*Inputs!$C$7</f>
        <v>0</v>
      </c>
      <c r="K24" s="5">
        <f>MAX(K23,0)*Inputs!$C$7</f>
        <v>0</v>
      </c>
      <c r="L24" s="5">
        <f>MAX(L23,0)*Inputs!$C$7</f>
        <v>0</v>
      </c>
      <c r="M24" s="5">
        <f>MAX(M23,0)*Inputs!$C$7</f>
        <v>0</v>
      </c>
      <c r="N24" s="5">
        <f>MAX(N23,0)*Inputs!$C$7</f>
        <v>0</v>
      </c>
      <c r="O24" s="5">
        <f>MAX(O23,0)*Inputs!$C$7</f>
        <v>0</v>
      </c>
      <c r="P24" s="5">
        <f>MAX(P23,0)*Inputs!$C$7</f>
        <v>0</v>
      </c>
      <c r="Q24" s="5">
        <f>MAX(Q23,0)*Inputs!$C$7</f>
        <v>0</v>
      </c>
    </row>
    <row r="25" spans="1:17">
      <c r="A25" s="2" t="s">
        <v>101</v>
      </c>
      <c r="G25" s="5">
        <f>Inputs!$C$28</f>
        <v>0</v>
      </c>
      <c r="H25" s="5">
        <f>G25*(1+Inputs!$C$29)</f>
        <v>0</v>
      </c>
      <c r="I25" s="5">
        <f>H25*(1+Inputs!$C$29)</f>
        <v>0</v>
      </c>
      <c r="J25" s="5">
        <f>I25*(1+Inputs!$C$29)</f>
        <v>0</v>
      </c>
      <c r="K25" s="5">
        <f>J25*(1+Inputs!$C$29)</f>
        <v>0</v>
      </c>
      <c r="L25" s="5">
        <f>K25*(1+Inputs!$C$29)</f>
        <v>0</v>
      </c>
      <c r="M25" s="5">
        <f>L25*(1+Inputs!$C$29)</f>
        <v>0</v>
      </c>
      <c r="N25" s="5">
        <f>M25*(1+Inputs!$C$29)</f>
        <v>0</v>
      </c>
      <c r="O25" s="5">
        <f>N25*(1+Inputs!$C$29)</f>
        <v>0</v>
      </c>
      <c r="P25" s="5">
        <f>O25*(1+Inputs!$C$29)</f>
        <v>0</v>
      </c>
      <c r="Q25" s="5">
        <f>P25*(1+Inputs!$C$29)</f>
        <v>0</v>
      </c>
    </row>
    <row r="26" spans="1:17">
      <c r="A26" s="2" t="s">
        <v>102</v>
      </c>
      <c r="C26" s="5">
        <v>2156</v>
      </c>
      <c r="D26" s="5">
        <v>3810</v>
      </c>
      <c r="E26" s="5">
        <v>4280</v>
      </c>
      <c r="F26" s="5">
        <v>4775</v>
      </c>
      <c r="G26" s="5">
        <v>5118</v>
      </c>
      <c r="H26" s="5">
        <f>H23-H24+H25</f>
        <v>0</v>
      </c>
      <c r="I26" s="5">
        <f>I23-I24+I25</f>
        <v>0</v>
      </c>
      <c r="J26" s="5">
        <f>J23-J24+J25</f>
        <v>0</v>
      </c>
      <c r="K26" s="5">
        <f>K23-K24+K25</f>
        <v>0</v>
      </c>
      <c r="L26" s="5">
        <f>L23-L24+L25</f>
        <v>0</v>
      </c>
      <c r="M26" s="5">
        <f>M23-M24+M25</f>
        <v>0</v>
      </c>
      <c r="N26" s="5">
        <f>N23-N24+N25</f>
        <v>0</v>
      </c>
      <c r="O26" s="5">
        <f>O23-O24+O25</f>
        <v>0</v>
      </c>
      <c r="P26" s="5">
        <f>P23-P24+P25</f>
        <v>0</v>
      </c>
      <c r="Q26" s="5">
        <f>Q23-Q24+Q25</f>
        <v>0</v>
      </c>
    </row>
    <row r="27" spans="1:17">
      <c r="A27" s="2" t="s">
        <v>103</v>
      </c>
      <c r="H27" s="5">
        <f>(H23-H24)*(Inputs!$C$18/($G38+$G39+Inputs!$C$18))</f>
        <v>0</v>
      </c>
      <c r="I27" s="5">
        <f>(I23-I24)*(Inputs!$C$18/($G38+$G39+Inputs!$C$18))</f>
        <v>0</v>
      </c>
      <c r="J27" s="5">
        <f>(J23-J24)*(Inputs!$C$18/($G38+$G39+Inputs!$C$18))</f>
        <v>0</v>
      </c>
      <c r="K27" s="5">
        <f>(K23-K24)*(Inputs!$C$18/($G38+$G39+Inputs!$C$18))</f>
        <v>0</v>
      </c>
      <c r="L27" s="5">
        <f>(L23-L24)*(Inputs!$C$18/($G38+$G39+Inputs!$C$18))</f>
        <v>0</v>
      </c>
      <c r="M27" s="5">
        <f>(M23-M24)*(Inputs!$C$18/($G38+$G39+Inputs!$C$18))</f>
        <v>0</v>
      </c>
      <c r="N27" s="5">
        <f>(N23-N24)*(Inputs!$C$18/($G38+$G39+Inputs!$C$18))</f>
        <v>0</v>
      </c>
      <c r="O27" s="5">
        <f>(O23-O24)*(Inputs!$C$18/($G38+$G39+Inputs!$C$18))</f>
        <v>0</v>
      </c>
      <c r="P27" s="5">
        <f>(P23-P24)*(Inputs!$C$18/($G38+$G39+Inputs!$C$18))</f>
        <v>0</v>
      </c>
      <c r="Q27" s="5">
        <f>(Q23-Q24)*(Inputs!$C$18/($G38+$G39+Inputs!$C$18))</f>
        <v>0</v>
      </c>
    </row>
    <row r="28" spans="1:17">
      <c r="A28" s="2" t="s">
        <v>104</v>
      </c>
      <c r="H28" s="5">
        <f>H26-H27</f>
        <v>0</v>
      </c>
      <c r="I28" s="5">
        <f>I26-I27</f>
        <v>0</v>
      </c>
      <c r="J28" s="5">
        <f>J26-J27</f>
        <v>0</v>
      </c>
      <c r="K28" s="5">
        <f>K26-K27</f>
        <v>0</v>
      </c>
      <c r="L28" s="5">
        <f>L26-L27</f>
        <v>0</v>
      </c>
      <c r="M28" s="5">
        <f>M26-M27</f>
        <v>0</v>
      </c>
      <c r="N28" s="5">
        <f>N26-N27</f>
        <v>0</v>
      </c>
      <c r="O28" s="5">
        <f>O26-O27</f>
        <v>0</v>
      </c>
      <c r="P28" s="5">
        <f>P26-P27</f>
        <v>0</v>
      </c>
      <c r="Q28" s="5">
        <f>Q26-Q27</f>
        <v>0</v>
      </c>
    </row>
    <row r="29" spans="1:17">
      <c r="A29" s="2" t="s">
        <v>105</v>
      </c>
      <c r="C29" s="13">
        <f>C26/Inputs!$C$16</f>
        <v>0</v>
      </c>
      <c r="D29" s="13">
        <f>D26/Inputs!$C$16</f>
        <v>0</v>
      </c>
      <c r="E29" s="13">
        <f>E26/Inputs!$C$16</f>
        <v>0</v>
      </c>
      <c r="F29" s="13">
        <f>F26/Inputs!$C$16</f>
        <v>0</v>
      </c>
      <c r="G29" s="13">
        <f>G26/Inputs!$C$16</f>
        <v>0</v>
      </c>
      <c r="H29" s="13">
        <f>H28/Inputs!$C$16</f>
        <v>0</v>
      </c>
      <c r="I29" s="13">
        <f>I28/Inputs!$C$16</f>
        <v>0</v>
      </c>
      <c r="J29" s="13">
        <f>J28/Inputs!$C$16</f>
        <v>0</v>
      </c>
      <c r="K29" s="13">
        <f>K28/Inputs!$C$16</f>
        <v>0</v>
      </c>
      <c r="L29" s="13">
        <f>L28/Inputs!$C$16</f>
        <v>0</v>
      </c>
      <c r="M29" s="13">
        <f>M28/Inputs!$C$16</f>
        <v>0</v>
      </c>
      <c r="N29" s="13">
        <f>N28/Inputs!$C$16</f>
        <v>0</v>
      </c>
      <c r="O29" s="13">
        <f>O28/Inputs!$C$16</f>
        <v>0</v>
      </c>
      <c r="P29" s="13">
        <f>P28/Inputs!$C$16</f>
        <v>0</v>
      </c>
      <c r="Q29" s="13">
        <f>Q28/Inputs!$C$16</f>
        <v>0</v>
      </c>
    </row>
    <row r="30" spans="1:17">
      <c r="A30" s="2" t="s">
        <v>106</v>
      </c>
      <c r="H30" s="5">
        <f>MAX(H28,0)*Inputs!$C$35</f>
        <v>0</v>
      </c>
      <c r="I30" s="5">
        <f>MAX(I28,0)*Inputs!$C$35</f>
        <v>0</v>
      </c>
      <c r="J30" s="5">
        <f>MAX(J28,0)*Inputs!$C$35</f>
        <v>0</v>
      </c>
      <c r="K30" s="5">
        <f>MAX(K28,0)*Inputs!$C$35</f>
        <v>0</v>
      </c>
      <c r="L30" s="5">
        <f>MAX(L28,0)*Inputs!$C$35</f>
        <v>0</v>
      </c>
      <c r="M30" s="5">
        <f>MAX(M28,0)*Inputs!$C$35</f>
        <v>0</v>
      </c>
      <c r="N30" s="5">
        <f>MAX(N28,0)*Inputs!$C$35</f>
        <v>0</v>
      </c>
      <c r="O30" s="5">
        <f>MAX(O28,0)*Inputs!$C$35</f>
        <v>0</v>
      </c>
      <c r="P30" s="5">
        <f>MAX(P28,0)*Inputs!$C$35</f>
        <v>0</v>
      </c>
      <c r="Q30" s="5">
        <f>MAX(Q28,0)*Inputs!$C$35</f>
        <v>0</v>
      </c>
    </row>
    <row r="31" spans="1:17">
      <c r="A31" s="12" t="s">
        <v>80</v>
      </c>
      <c r="B31" s="12"/>
      <c r="C31" s="12"/>
      <c r="D31" s="12"/>
      <c r="E31" s="12"/>
      <c r="F31" s="12"/>
      <c r="G31" s="12"/>
      <c r="H31" s="12"/>
      <c r="I31" s="12"/>
      <c r="J31" s="12"/>
      <c r="K31" s="12"/>
      <c r="L31" s="12"/>
      <c r="M31" s="12"/>
      <c r="N31" s="12"/>
      <c r="O31" s="12"/>
      <c r="P31" s="12"/>
      <c r="Q31" s="12"/>
    </row>
    <row r="32" spans="1:17">
      <c r="A32" s="2" t="s">
        <v>107</v>
      </c>
      <c r="C32" s="5">
        <v>57389</v>
      </c>
      <c r="D32" s="5">
        <v>61747</v>
      </c>
      <c r="E32" s="5">
        <v>67210</v>
      </c>
      <c r="F32" s="5">
        <v>78374</v>
      </c>
      <c r="G32" s="5">
        <v>87293</v>
      </c>
      <c r="H32" s="5">
        <f>G32+H7-H21</f>
        <v>0</v>
      </c>
      <c r="I32" s="5">
        <f>H32+I7-I21</f>
        <v>0</v>
      </c>
      <c r="J32" s="5">
        <f>I32+J7-J21</f>
        <v>0</v>
      </c>
      <c r="K32" s="5">
        <f>J32+K7-K21</f>
        <v>0</v>
      </c>
      <c r="L32" s="5">
        <f>K32+L7-L21</f>
        <v>0</v>
      </c>
      <c r="M32" s="5">
        <f>L32+M7-M21</f>
        <v>0</v>
      </c>
      <c r="N32" s="5">
        <f>M32+N7-N21</f>
        <v>0</v>
      </c>
      <c r="O32" s="5">
        <f>N32+O7-O21</f>
        <v>0</v>
      </c>
      <c r="P32" s="5">
        <f>O32+P7-P21</f>
        <v>0</v>
      </c>
      <c r="Q32" s="5">
        <f>P32+Q7-Q21</f>
        <v>0</v>
      </c>
    </row>
    <row r="33" spans="1:17">
      <c r="A33" s="2" t="s">
        <v>108</v>
      </c>
      <c r="C33" s="5">
        <v>4635</v>
      </c>
      <c r="D33" s="5">
        <v>5376</v>
      </c>
      <c r="E33" s="5">
        <v>11561</v>
      </c>
      <c r="F33" s="5">
        <v>12679</v>
      </c>
      <c r="G33" s="5">
        <v>14595</v>
      </c>
      <c r="H33" s="5">
        <f>G33+H6-H7</f>
        <v>0</v>
      </c>
      <c r="I33" s="5">
        <f>H33+I6-I7</f>
        <v>0</v>
      </c>
      <c r="J33" s="5">
        <f>I33+J6-J7</f>
        <v>0</v>
      </c>
      <c r="K33" s="5">
        <f>J33+K6-K7</f>
        <v>0</v>
      </c>
      <c r="L33" s="5">
        <f>K33+L6-L7</f>
        <v>0</v>
      </c>
      <c r="M33" s="5">
        <f>L33+M6-M7</f>
        <v>0</v>
      </c>
      <c r="N33" s="5">
        <f>M33+N6-N7</f>
        <v>0</v>
      </c>
      <c r="O33" s="5">
        <f>N33+O6-O7</f>
        <v>0</v>
      </c>
      <c r="P33" s="5">
        <f>O33+P6-P7</f>
        <v>0</v>
      </c>
      <c r="Q33" s="5">
        <f>P33+Q6-Q7</f>
        <v>0</v>
      </c>
    </row>
    <row r="34" spans="1:17">
      <c r="A34" s="2" t="s">
        <v>109</v>
      </c>
      <c r="C34" s="5">
        <v>14160</v>
      </c>
      <c r="D34" s="5">
        <v>16670</v>
      </c>
      <c r="E34" s="5">
        <v>16316</v>
      </c>
      <c r="F34" s="5">
        <v>16316</v>
      </c>
      <c r="G34" s="5">
        <v>16575</v>
      </c>
      <c r="H34" s="5">
        <f>G34*(1+Inputs!$C$38)+H25</f>
        <v>0</v>
      </c>
      <c r="I34" s="5">
        <f>H34*(1+Inputs!$C$38)+I25</f>
        <v>0</v>
      </c>
      <c r="J34" s="5">
        <f>I34*(1+Inputs!$C$38)+J25</f>
        <v>0</v>
      </c>
      <c r="K34" s="5">
        <f>J34*(1+Inputs!$C$38)+K25</f>
        <v>0</v>
      </c>
      <c r="L34" s="5">
        <f>K34*(1+Inputs!$C$38)+L25</f>
        <v>0</v>
      </c>
      <c r="M34" s="5">
        <f>L34*(1+Inputs!$C$38)+M25</f>
        <v>0</v>
      </c>
      <c r="N34" s="5">
        <f>M34*(1+Inputs!$C$38)+N25</f>
        <v>0</v>
      </c>
      <c r="O34" s="5">
        <f>N34*(1+Inputs!$C$38)+O25</f>
        <v>0</v>
      </c>
      <c r="P34" s="5">
        <f>O34*(1+Inputs!$C$38)+P25</f>
        <v>0</v>
      </c>
      <c r="Q34" s="5">
        <f>P34*(1+Inputs!$C$38)+Q25</f>
        <v>0</v>
      </c>
    </row>
    <row r="35" spans="1:17">
      <c r="A35" s="2" t="s">
        <v>110</v>
      </c>
      <c r="C35" s="5">
        <v>36365</v>
      </c>
      <c r="D35" s="5">
        <v>44303</v>
      </c>
      <c r="E35" s="5">
        <v>43968</v>
      </c>
      <c r="F35" s="5">
        <v>48824</v>
      </c>
      <c r="G35" s="5">
        <v>56102</v>
      </c>
      <c r="H35" s="5">
        <f>H19*Inputs!$C$36</f>
        <v>0</v>
      </c>
      <c r="I35" s="5">
        <f>I19*Inputs!$C$36</f>
        <v>0</v>
      </c>
      <c r="J35" s="5">
        <f>J19*Inputs!$C$36</f>
        <v>0</v>
      </c>
      <c r="K35" s="5">
        <f>K19*Inputs!$C$36</f>
        <v>0</v>
      </c>
      <c r="L35" s="5">
        <f>L19*Inputs!$C$36</f>
        <v>0</v>
      </c>
      <c r="M35" s="5">
        <f>M19*Inputs!$C$36</f>
        <v>0</v>
      </c>
      <c r="N35" s="5">
        <f>N19*Inputs!$C$36</f>
        <v>0</v>
      </c>
      <c r="O35" s="5">
        <f>O19*Inputs!$C$36</f>
        <v>0</v>
      </c>
      <c r="P35" s="5">
        <f>P19*Inputs!$C$36</f>
        <v>0</v>
      </c>
      <c r="Q35" s="5">
        <f>Q19*Inputs!$C$36</f>
        <v>0</v>
      </c>
    </row>
    <row r="36" spans="1:17">
      <c r="A36" s="2" t="s">
        <v>111</v>
      </c>
      <c r="G36" s="5">
        <v>0</v>
      </c>
      <c r="H36" s="5">
        <f>H51+H52</f>
        <v>0</v>
      </c>
      <c r="I36" s="5">
        <f>I51+I52</f>
        <v>0</v>
      </c>
      <c r="J36" s="5">
        <f>J51+J52</f>
        <v>0</v>
      </c>
      <c r="K36" s="5">
        <f>K51+K52</f>
        <v>0</v>
      </c>
      <c r="L36" s="5">
        <f>L51+L52</f>
        <v>0</v>
      </c>
      <c r="M36" s="5">
        <f>M51+M52</f>
        <v>0</v>
      </c>
      <c r="N36" s="5">
        <f>N51+N52</f>
        <v>0</v>
      </c>
      <c r="O36" s="5">
        <f>O51+O52</f>
        <v>0</v>
      </c>
      <c r="P36" s="5">
        <f>P51+P52</f>
        <v>0</v>
      </c>
      <c r="Q36" s="5">
        <f>Q51+Q52</f>
        <v>0</v>
      </c>
    </row>
    <row r="37" spans="1:17">
      <c r="A37" s="2" t="s">
        <v>112</v>
      </c>
      <c r="C37" s="14">
        <f>C32+C33+C34+C35</f>
        <v>0</v>
      </c>
      <c r="D37" s="14">
        <f>D32+D33+D34+D35</f>
        <v>0</v>
      </c>
      <c r="E37" s="14">
        <f>E32+E33+E34+E35</f>
        <v>0</v>
      </c>
      <c r="F37" s="14">
        <f>F32+F33+F34+F35</f>
        <v>0</v>
      </c>
      <c r="G37" s="14">
        <f>G32+G33+G34+G35+G36</f>
        <v>0</v>
      </c>
      <c r="H37" s="14">
        <f>H32+H33+H34+H35+H36</f>
        <v>0</v>
      </c>
      <c r="I37" s="14">
        <f>I32+I33+I34+I35+I36</f>
        <v>0</v>
      </c>
      <c r="J37" s="14">
        <f>J32+J33+J34+J35+J36</f>
        <v>0</v>
      </c>
      <c r="K37" s="14">
        <f>K32+K33+K34+K35+K36</f>
        <v>0</v>
      </c>
      <c r="L37" s="14">
        <f>L32+L33+L34+L35+L36</f>
        <v>0</v>
      </c>
      <c r="M37" s="14">
        <f>M32+M33+M34+M35+M36</f>
        <v>0</v>
      </c>
      <c r="N37" s="14">
        <f>N32+N33+N34+N35+N36</f>
        <v>0</v>
      </c>
      <c r="O37" s="14">
        <f>O32+O33+O34+O35+O36</f>
        <v>0</v>
      </c>
      <c r="P37" s="14">
        <f>P32+P33+P34+P35+P36</f>
        <v>0</v>
      </c>
      <c r="Q37" s="14">
        <f>Q32+Q33+Q34+Q35+Q36</f>
        <v>0</v>
      </c>
    </row>
    <row r="38" spans="1:17">
      <c r="A38" s="2" t="s">
        <v>113</v>
      </c>
      <c r="C38" s="5">
        <v>320</v>
      </c>
      <c r="D38" s="5">
        <v>320</v>
      </c>
      <c r="E38" s="5">
        <v>320</v>
      </c>
      <c r="F38" s="5">
        <v>320</v>
      </c>
      <c r="G38" s="5">
        <v>320</v>
      </c>
      <c r="H38" s="5">
        <f>G38</f>
        <v>0</v>
      </c>
      <c r="I38" s="5">
        <f>H38</f>
        <v>0</v>
      </c>
      <c r="J38" s="5">
        <f>I38</f>
        <v>0</v>
      </c>
      <c r="K38" s="5">
        <f>J38</f>
        <v>0</v>
      </c>
      <c r="L38" s="5">
        <f>K38</f>
        <v>0</v>
      </c>
      <c r="M38" s="5">
        <f>L38</f>
        <v>0</v>
      </c>
      <c r="N38" s="5">
        <f>M38</f>
        <v>0</v>
      </c>
      <c r="O38" s="5">
        <f>N38</f>
        <v>0</v>
      </c>
      <c r="P38" s="5">
        <f>O38</f>
        <v>0</v>
      </c>
      <c r="Q38" s="5">
        <f>P38</f>
        <v>0</v>
      </c>
    </row>
    <row r="39" spans="1:17">
      <c r="A39" s="2" t="s">
        <v>114</v>
      </c>
      <c r="C39" s="5">
        <v>22122</v>
      </c>
      <c r="D39" s="5">
        <v>28468</v>
      </c>
      <c r="E39" s="5">
        <v>32036</v>
      </c>
      <c r="F39" s="5">
        <v>35521</v>
      </c>
      <c r="G39" s="5">
        <v>39148</v>
      </c>
      <c r="H39" s="5">
        <f>G39+H28-H30</f>
        <v>0</v>
      </c>
      <c r="I39" s="5">
        <f>H39+I28-I30</f>
        <v>0</v>
      </c>
      <c r="J39" s="5">
        <f>I39+J28-J30</f>
        <v>0</v>
      </c>
      <c r="K39" s="5">
        <f>J39+K28-K30</f>
        <v>0</v>
      </c>
      <c r="L39" s="5">
        <f>K39+L28-L30</f>
        <v>0</v>
      </c>
      <c r="M39" s="5">
        <f>L39+M28-M30</f>
        <v>0</v>
      </c>
      <c r="N39" s="5">
        <f>M39+N28-N30</f>
        <v>0</v>
      </c>
      <c r="O39" s="5">
        <f>N39+O28-O30</f>
        <v>0</v>
      </c>
      <c r="P39" s="5">
        <f>O39+P28-P30</f>
        <v>0</v>
      </c>
      <c r="Q39" s="5">
        <f>P39+Q28-Q30</f>
        <v>0</v>
      </c>
    </row>
    <row r="40" spans="1:17">
      <c r="A40" s="2" t="s">
        <v>115</v>
      </c>
      <c r="G40" s="5">
        <f>Inputs!$C$18</f>
        <v>0</v>
      </c>
      <c r="H40" s="5">
        <f>G40+H27</f>
        <v>0</v>
      </c>
      <c r="I40" s="5">
        <f>H40+I27</f>
        <v>0</v>
      </c>
      <c r="J40" s="5">
        <f>I40+J27</f>
        <v>0</v>
      </c>
      <c r="K40" s="5">
        <f>J40+K27</f>
        <v>0</v>
      </c>
      <c r="L40" s="5">
        <f>K40+L27</f>
        <v>0</v>
      </c>
      <c r="M40" s="5">
        <f>L40+M27</f>
        <v>0</v>
      </c>
      <c r="N40" s="5">
        <f>M40+N27</f>
        <v>0</v>
      </c>
      <c r="O40" s="5">
        <f>N40+O27</f>
        <v>0</v>
      </c>
      <c r="P40" s="5">
        <f>O40+P27</f>
        <v>0</v>
      </c>
      <c r="Q40" s="5">
        <f>P40+Q27</f>
        <v>0</v>
      </c>
    </row>
    <row r="41" spans="1:17">
      <c r="A41" s="2" t="s">
        <v>116</v>
      </c>
      <c r="C41" s="5">
        <v>51195</v>
      </c>
      <c r="D41" s="5">
        <v>52923</v>
      </c>
      <c r="E41" s="5">
        <v>53689</v>
      </c>
      <c r="F41" s="5">
        <v>62866</v>
      </c>
      <c r="G41" s="5">
        <v>76141</v>
      </c>
      <c r="H41" s="5">
        <f>G41+H6*Inputs!$C$33</f>
        <v>0</v>
      </c>
      <c r="I41" s="5">
        <f>H41+I6*Inputs!$C$33</f>
        <v>0</v>
      </c>
      <c r="J41" s="5">
        <f>I41+J6*Inputs!$C$33</f>
        <v>0</v>
      </c>
      <c r="K41" s="5">
        <f>J41+K6*Inputs!$C$33</f>
        <v>0</v>
      </c>
      <c r="L41" s="5">
        <f>K41+L6*Inputs!$C$33</f>
        <v>0</v>
      </c>
      <c r="M41" s="5">
        <f>L41+M6*Inputs!$C$33</f>
        <v>0</v>
      </c>
      <c r="N41" s="5">
        <f>M41+N6*Inputs!$C$33</f>
        <v>0</v>
      </c>
      <c r="O41" s="5">
        <f>N41+O6*Inputs!$C$33</f>
        <v>0</v>
      </c>
      <c r="P41" s="5">
        <f>O41+P6*Inputs!$C$33</f>
        <v>0</v>
      </c>
      <c r="Q41" s="5">
        <f>P41+Q6*Inputs!$C$33</f>
        <v>0</v>
      </c>
    </row>
    <row r="42" spans="1:17">
      <c r="A42" s="2" t="s">
        <v>117</v>
      </c>
      <c r="G42" s="5">
        <v>0</v>
      </c>
      <c r="H42" s="5">
        <f>G42+H52</f>
        <v>0</v>
      </c>
      <c r="I42" s="5">
        <f>H42+I52</f>
        <v>0</v>
      </c>
      <c r="J42" s="5">
        <f>I42+J52</f>
        <v>0</v>
      </c>
      <c r="K42" s="5">
        <f>J42+K52</f>
        <v>0</v>
      </c>
      <c r="L42" s="5">
        <f>K42+L52</f>
        <v>0</v>
      </c>
      <c r="M42" s="5">
        <f>L42+M52</f>
        <v>0</v>
      </c>
      <c r="N42" s="5">
        <f>M42+N52</f>
        <v>0</v>
      </c>
      <c r="O42" s="5">
        <f>N42+O52</f>
        <v>0</v>
      </c>
      <c r="P42" s="5">
        <f>O42+P52</f>
        <v>0</v>
      </c>
      <c r="Q42" s="5">
        <f>P42+Q52</f>
        <v>0</v>
      </c>
    </row>
    <row r="43" spans="1:17">
      <c r="A43" s="2" t="s">
        <v>118</v>
      </c>
      <c r="C43" s="5">
        <v>38913</v>
      </c>
      <c r="D43" s="5">
        <v>46386</v>
      </c>
      <c r="E43" s="5">
        <v>53010</v>
      </c>
      <c r="F43" s="5">
        <v>57487</v>
      </c>
      <c r="G43" s="5">
        <f>58956.0-Inputs!$C$18</f>
        <v>0</v>
      </c>
      <c r="H43" s="5">
        <f>H19*Inputs!$C$37</f>
        <v>0</v>
      </c>
      <c r="I43" s="5">
        <f>I19*Inputs!$C$37</f>
        <v>0</v>
      </c>
      <c r="J43" s="5">
        <f>J19*Inputs!$C$37</f>
        <v>0</v>
      </c>
      <c r="K43" s="5">
        <f>K19*Inputs!$C$37</f>
        <v>0</v>
      </c>
      <c r="L43" s="5">
        <f>L19*Inputs!$C$37</f>
        <v>0</v>
      </c>
      <c r="M43" s="5">
        <f>M19*Inputs!$C$37</f>
        <v>0</v>
      </c>
      <c r="N43" s="5">
        <f>N19*Inputs!$C$37</f>
        <v>0</v>
      </c>
      <c r="O43" s="5">
        <f>O19*Inputs!$C$37</f>
        <v>0</v>
      </c>
      <c r="P43" s="5">
        <f>P19*Inputs!$C$37</f>
        <v>0</v>
      </c>
      <c r="Q43" s="5">
        <f>Q19*Inputs!$C$37</f>
        <v>0</v>
      </c>
    </row>
    <row r="44" spans="1:17">
      <c r="A44" s="2" t="s">
        <v>119</v>
      </c>
      <c r="C44" s="14">
        <f>C38+C39+C40+C41+C42+C43</f>
        <v>0</v>
      </c>
      <c r="D44" s="14">
        <f>D38+D39+D40+D41+D42+D43</f>
        <v>0</v>
      </c>
      <c r="E44" s="14">
        <f>E38+E39+E40+E41+E42+E43</f>
        <v>0</v>
      </c>
      <c r="F44" s="14">
        <f>F38+F39+F40+F41+F42+F43</f>
        <v>0</v>
      </c>
      <c r="G44" s="14">
        <f>G38+G39+G40+G41+G42+G43</f>
        <v>0</v>
      </c>
      <c r="H44" s="14">
        <f>H38+H39+H40+H41+H42+H43</f>
        <v>0</v>
      </c>
      <c r="I44" s="14">
        <f>I38+I39+I40+I41+I42+I43</f>
        <v>0</v>
      </c>
      <c r="J44" s="14">
        <f>J38+J39+J40+J41+J42+J43</f>
        <v>0</v>
      </c>
      <c r="K44" s="14">
        <f>K38+K39+K40+K41+K42+K43</f>
        <v>0</v>
      </c>
      <c r="L44" s="14">
        <f>L38+L39+L40+L41+L42+L43</f>
        <v>0</v>
      </c>
      <c r="M44" s="14">
        <f>M38+M39+M40+M41+M42+M43</f>
        <v>0</v>
      </c>
      <c r="N44" s="14">
        <f>N38+N39+N40+N41+N42+N43</f>
        <v>0</v>
      </c>
      <c r="O44" s="14">
        <f>O38+O39+O40+O41+O42+O43</f>
        <v>0</v>
      </c>
      <c r="P44" s="14">
        <f>P38+P39+P40+P41+P42+P43</f>
        <v>0</v>
      </c>
      <c r="Q44" s="14">
        <f>Q38+Q39+Q40+Q41+Q42+Q43</f>
        <v>0</v>
      </c>
    </row>
    <row r="45" spans="1:17">
      <c r="A45" s="2" t="s">
        <v>120</v>
      </c>
      <c r="C45" s="15">
        <f>IF(ABS(C37-C44)&lt;2,0,C37-C44)</f>
        <v>0</v>
      </c>
      <c r="D45" s="15">
        <f>IF(ABS(D37-D44)&lt;2,0,D37-D44)</f>
        <v>0</v>
      </c>
      <c r="E45" s="15">
        <f>IF(ABS(E37-E44)&lt;2,0,E37-E44)</f>
        <v>0</v>
      </c>
      <c r="F45" s="15">
        <f>IF(ABS(F37-F44)&lt;2,0,F37-F44)</f>
        <v>0</v>
      </c>
      <c r="G45" s="15">
        <f>IF(ABS(G37-G44)&lt;2,0,G37-G44)</f>
        <v>0</v>
      </c>
      <c r="H45" s="15">
        <f>ROUND(H37-H44,4)</f>
        <v>0</v>
      </c>
      <c r="I45" s="15">
        <f>ROUND(I37-I44,4)</f>
        <v>0</v>
      </c>
      <c r="J45" s="15">
        <f>ROUND(J37-J44,4)</f>
        <v>0</v>
      </c>
      <c r="K45" s="15">
        <f>ROUND(K37-K44,4)</f>
        <v>0</v>
      </c>
      <c r="L45" s="15">
        <f>ROUND(L37-L44,4)</f>
        <v>0</v>
      </c>
      <c r="M45" s="15">
        <f>ROUND(M37-M44,4)</f>
        <v>0</v>
      </c>
      <c r="N45" s="15">
        <f>ROUND(N37-N44,4)</f>
        <v>0</v>
      </c>
      <c r="O45" s="15">
        <f>ROUND(O37-O44,4)</f>
        <v>0</v>
      </c>
      <c r="P45" s="15">
        <f>ROUND(P37-P44,4)</f>
        <v>0</v>
      </c>
      <c r="Q45" s="15">
        <f>ROUND(Q37-Q44,4)</f>
        <v>0</v>
      </c>
    </row>
    <row r="46" spans="1:17">
      <c r="A46" s="12" t="s">
        <v>81</v>
      </c>
      <c r="B46" s="12"/>
      <c r="C46" s="12"/>
      <c r="D46" s="12"/>
      <c r="E46" s="12"/>
      <c r="F46" s="12"/>
      <c r="G46" s="12"/>
      <c r="H46" s="12"/>
      <c r="I46" s="12"/>
      <c r="J46" s="12"/>
      <c r="K46" s="12"/>
      <c r="L46" s="12"/>
      <c r="M46" s="12"/>
      <c r="N46" s="12"/>
      <c r="O46" s="12"/>
      <c r="P46" s="12"/>
      <c r="Q46" s="12"/>
    </row>
    <row r="47" spans="1:17">
      <c r="A47" s="2" t="s">
        <v>121</v>
      </c>
      <c r="H47" s="5">
        <f>(H35-H43)-(G35-G43)</f>
        <v>0</v>
      </c>
      <c r="I47" s="5">
        <f>(I35-I43)-(H35-H43)</f>
        <v>0</v>
      </c>
      <c r="J47" s="5">
        <f>(J35-J43)-(I35-I43)</f>
        <v>0</v>
      </c>
      <c r="K47" s="5">
        <f>(K35-K43)-(J35-J43)</f>
        <v>0</v>
      </c>
      <c r="L47" s="5">
        <f>(L35-L43)-(K35-K43)</f>
        <v>0</v>
      </c>
      <c r="M47" s="5">
        <f>(M35-M43)-(L35-L43)</f>
        <v>0</v>
      </c>
      <c r="N47" s="5">
        <f>(N35-N43)-(M35-M43)</f>
        <v>0</v>
      </c>
      <c r="O47" s="5">
        <f>(O35-O43)-(N35-N43)</f>
        <v>0</v>
      </c>
      <c r="P47" s="5">
        <f>(P35-P43)-(O35-O43)</f>
        <v>0</v>
      </c>
      <c r="Q47" s="5">
        <f>(Q35-Q43)-(P35-P43)</f>
        <v>0</v>
      </c>
    </row>
    <row r="48" spans="1:17">
      <c r="A48" s="2" t="s">
        <v>122</v>
      </c>
      <c r="C48" s="5">
        <v>6693</v>
      </c>
      <c r="D48" s="5">
        <v>7166</v>
      </c>
      <c r="E48" s="5">
        <v>12504</v>
      </c>
      <c r="F48" s="5">
        <v>12680</v>
      </c>
      <c r="G48" s="5">
        <v>5993</v>
      </c>
      <c r="H48" s="5">
        <f>H26-H25+H21-H47</f>
        <v>0</v>
      </c>
      <c r="I48" s="5">
        <f>I26-I25+I21-I47</f>
        <v>0</v>
      </c>
      <c r="J48" s="5">
        <f>J26-J25+J21-J47</f>
        <v>0</v>
      </c>
      <c r="K48" s="5">
        <f>K26-K25+K21-K47</f>
        <v>0</v>
      </c>
      <c r="L48" s="5">
        <f>L26-L25+L21-L47</f>
        <v>0</v>
      </c>
      <c r="M48" s="5">
        <f>M26-M25+M21-M47</f>
        <v>0</v>
      </c>
      <c r="N48" s="5">
        <f>N26-N25+N21-N47</f>
        <v>0</v>
      </c>
      <c r="O48" s="5">
        <f>O26-O25+O21-O47</f>
        <v>0</v>
      </c>
      <c r="P48" s="5">
        <f>P26-P25+P21-P47</f>
        <v>0</v>
      </c>
      <c r="Q48" s="5">
        <f>Q26-Q25+Q21-Q47</f>
        <v>0</v>
      </c>
    </row>
    <row r="49" spans="1:17">
      <c r="A49" s="2" t="s">
        <v>123</v>
      </c>
      <c r="C49" s="5">
        <v>-6250</v>
      </c>
      <c r="D49" s="5">
        <v>-7263</v>
      </c>
      <c r="E49" s="5">
        <v>-8935</v>
      </c>
      <c r="F49" s="5">
        <v>-15436</v>
      </c>
      <c r="G49" s="5">
        <v>-14129</v>
      </c>
      <c r="H49" s="5">
        <f>-H6-G34*Inputs!$C$38</f>
        <v>0</v>
      </c>
      <c r="I49" s="5">
        <f>-I6-H34*Inputs!$C$38</f>
        <v>0</v>
      </c>
      <c r="J49" s="5">
        <f>-J6-I34*Inputs!$C$38</f>
        <v>0</v>
      </c>
      <c r="K49" s="5">
        <f>-K6-J34*Inputs!$C$38</f>
        <v>0</v>
      </c>
      <c r="L49" s="5">
        <f>-L6-K34*Inputs!$C$38</f>
        <v>0</v>
      </c>
      <c r="M49" s="5">
        <f>-M6-L34*Inputs!$C$38</f>
        <v>0</v>
      </c>
      <c r="N49" s="5">
        <f>-N6-M34*Inputs!$C$38</f>
        <v>0</v>
      </c>
      <c r="O49" s="5">
        <f>-O6-N34*Inputs!$C$38</f>
        <v>0</v>
      </c>
      <c r="P49" s="5">
        <f>-P6-O34*Inputs!$C$38</f>
        <v>0</v>
      </c>
      <c r="Q49" s="5">
        <f>-Q6-P34*Inputs!$C$38</f>
        <v>0</v>
      </c>
    </row>
    <row r="50" spans="1:17">
      <c r="A50" s="2" t="s">
        <v>124</v>
      </c>
      <c r="H50" s="5">
        <f>H6*Inputs!$C$33-H30</f>
        <v>0</v>
      </c>
      <c r="I50" s="5">
        <f>I6*Inputs!$C$33-I30</f>
        <v>0</v>
      </c>
      <c r="J50" s="5">
        <f>J6*Inputs!$C$33-J30</f>
        <v>0</v>
      </c>
      <c r="K50" s="5">
        <f>K6*Inputs!$C$33-K30</f>
        <v>0</v>
      </c>
      <c r="L50" s="5">
        <f>L6*Inputs!$C$33-L30</f>
        <v>0</v>
      </c>
      <c r="M50" s="5">
        <f>M6*Inputs!$C$33-M30</f>
        <v>0</v>
      </c>
      <c r="N50" s="5">
        <f>N6*Inputs!$C$33-N30</f>
        <v>0</v>
      </c>
      <c r="O50" s="5">
        <f>O6*Inputs!$C$33-O30</f>
        <v>0</v>
      </c>
      <c r="P50" s="5">
        <f>P6*Inputs!$C$33-P30</f>
        <v>0</v>
      </c>
      <c r="Q50" s="5">
        <f>Q6*Inputs!$C$33-Q30</f>
        <v>0</v>
      </c>
    </row>
    <row r="51" spans="1:17">
      <c r="A51" s="2" t="s">
        <v>125</v>
      </c>
      <c r="G51" s="5">
        <v>0</v>
      </c>
      <c r="H51" s="5">
        <f>G36+H48+H49+H50</f>
        <v>0</v>
      </c>
      <c r="I51" s="5">
        <f>H36+I48+I49+I50</f>
        <v>0</v>
      </c>
      <c r="J51" s="5">
        <f>I36+J48+J49+J50</f>
        <v>0</v>
      </c>
      <c r="K51" s="5">
        <f>J36+K48+K49+K50</f>
        <v>0</v>
      </c>
      <c r="L51" s="5">
        <f>K36+L48+L49+L50</f>
        <v>0</v>
      </c>
      <c r="M51" s="5">
        <f>L36+M48+M49+M50</f>
        <v>0</v>
      </c>
      <c r="N51" s="5">
        <f>M36+N48+N49+N50</f>
        <v>0</v>
      </c>
      <c r="O51" s="5">
        <f>N36+O48+O49+O50</f>
        <v>0</v>
      </c>
      <c r="P51" s="5">
        <f>O36+P48+P49+P50</f>
        <v>0</v>
      </c>
      <c r="Q51" s="5">
        <f>P36+Q48+Q49+Q50</f>
        <v>0</v>
      </c>
    </row>
    <row r="52" spans="1:17">
      <c r="A52" s="2" t="s">
        <v>126</v>
      </c>
      <c r="H52" s="5">
        <f>MAX(Inputs!$C$10-H51,-G42)</f>
        <v>0</v>
      </c>
      <c r="I52" s="5">
        <f>MAX(Inputs!$C$10-I51,-H42)</f>
        <v>0</v>
      </c>
      <c r="J52" s="5">
        <f>MAX(Inputs!$C$10-J51,-I42)</f>
        <v>0</v>
      </c>
      <c r="K52" s="5">
        <f>MAX(Inputs!$C$10-K51,-J42)</f>
        <v>0</v>
      </c>
      <c r="L52" s="5">
        <f>MAX(Inputs!$C$10-L51,-K42)</f>
        <v>0</v>
      </c>
      <c r="M52" s="5">
        <f>MAX(Inputs!$C$10-M51,-L42)</f>
        <v>0</v>
      </c>
      <c r="N52" s="5">
        <f>MAX(Inputs!$C$10-N51,-M42)</f>
        <v>0</v>
      </c>
      <c r="O52" s="5">
        <f>MAX(Inputs!$C$10-O51,-N42)</f>
        <v>0</v>
      </c>
      <c r="P52" s="5">
        <f>MAX(Inputs!$C$10-P51,-O42)</f>
        <v>0</v>
      </c>
      <c r="Q52" s="5">
        <f>MAX(Inputs!$C$10-Q51,-P42)</f>
        <v>0</v>
      </c>
    </row>
    <row r="53" spans="1:17">
      <c r="A53" s="2" t="s">
        <v>127</v>
      </c>
      <c r="C53" s="5">
        <v>-1183</v>
      </c>
      <c r="D53" s="5">
        <v>1341</v>
      </c>
      <c r="E53" s="5">
        <v>-4497</v>
      </c>
      <c r="F53" s="5">
        <v>4292</v>
      </c>
      <c r="G53" s="5">
        <v>7783</v>
      </c>
      <c r="H53" s="5">
        <f>H50+H52</f>
        <v>0</v>
      </c>
      <c r="I53" s="5">
        <f>I50+I52</f>
        <v>0</v>
      </c>
      <c r="J53" s="5">
        <f>J50+J52</f>
        <v>0</v>
      </c>
      <c r="K53" s="5">
        <f>K50+K52</f>
        <v>0</v>
      </c>
      <c r="L53" s="5">
        <f>L50+L52</f>
        <v>0</v>
      </c>
      <c r="M53" s="5">
        <f>M50+M52</f>
        <v>0</v>
      </c>
      <c r="N53" s="5">
        <f>N50+N52</f>
        <v>0</v>
      </c>
      <c r="O53" s="5">
        <f>O50+O52</f>
        <v>0</v>
      </c>
      <c r="P53" s="5">
        <f>P50+P52</f>
        <v>0</v>
      </c>
      <c r="Q53" s="5">
        <f>Q50+Q52</f>
        <v>0</v>
      </c>
    </row>
    <row r="54" spans="1:17">
      <c r="A54" s="12" t="s">
        <v>82</v>
      </c>
      <c r="B54" s="12"/>
      <c r="C54" s="12"/>
      <c r="D54" s="12"/>
      <c r="E54" s="12"/>
      <c r="F54" s="12"/>
      <c r="G54" s="12"/>
      <c r="H54" s="12"/>
      <c r="I54" s="12"/>
      <c r="J54" s="12"/>
      <c r="K54" s="12"/>
      <c r="L54" s="12"/>
      <c r="M54" s="12"/>
      <c r="N54" s="12"/>
      <c r="O54" s="12"/>
      <c r="P54" s="12"/>
      <c r="Q54" s="12"/>
    </row>
    <row r="55" spans="1:17">
      <c r="A55" s="2" t="s">
        <v>128</v>
      </c>
      <c r="C55" s="11">
        <f>C41/C16</f>
        <v>0</v>
      </c>
      <c r="D55" s="11">
        <f>D41/D16</f>
        <v>0</v>
      </c>
      <c r="E55" s="11">
        <f>E41/E16</f>
        <v>0</v>
      </c>
      <c r="F55" s="11">
        <f>F41/F16</f>
        <v>0</v>
      </c>
      <c r="G55" s="11">
        <f>G41/G16</f>
        <v>0</v>
      </c>
      <c r="H55" s="11">
        <f>(H41+H42-H36)/H16</f>
        <v>0</v>
      </c>
      <c r="I55" s="11">
        <f>(I41+I42-I36)/I16</f>
        <v>0</v>
      </c>
      <c r="J55" s="11">
        <f>(J41+J42-J36)/J16</f>
        <v>0</v>
      </c>
      <c r="K55" s="11">
        <f>(K41+K42-K36)/K16</f>
        <v>0</v>
      </c>
      <c r="L55" s="11">
        <f>(L41+L42-L36)/L16</f>
        <v>0</v>
      </c>
      <c r="M55" s="11">
        <f>(M41+M42-M36)/M16</f>
        <v>0</v>
      </c>
      <c r="N55" s="11">
        <f>(N41+N42-N36)/N16</f>
        <v>0</v>
      </c>
      <c r="O55" s="11">
        <f>(O41+O42-O36)/O16</f>
        <v>0</v>
      </c>
      <c r="P55" s="11">
        <f>(P41+P42-P36)/P16</f>
        <v>0</v>
      </c>
      <c r="Q55" s="11">
        <f>(Q41+Q42-Q36)/Q16</f>
        <v>0</v>
      </c>
    </row>
    <row r="56" spans="1:17">
      <c r="A56" s="2" t="s">
        <v>129</v>
      </c>
      <c r="H56" s="6">
        <f>H28/((H38+H39+G38+G39)/2)</f>
        <v>0</v>
      </c>
      <c r="I56" s="6">
        <f>I28/((I38+I39+H38+H39)/2)</f>
        <v>0</v>
      </c>
      <c r="J56" s="6">
        <f>J28/((J38+J39+I38+I39)/2)</f>
        <v>0</v>
      </c>
      <c r="K56" s="6">
        <f>K28/((K38+K39+J38+J39)/2)</f>
        <v>0</v>
      </c>
      <c r="L56" s="6">
        <f>L28/((L38+L39+K38+K39)/2)</f>
        <v>0</v>
      </c>
      <c r="M56" s="6">
        <f>M28/((M38+M39+L38+L39)/2)</f>
        <v>0</v>
      </c>
      <c r="N56" s="6">
        <f>N28/((N38+N39+M38+M39)/2)</f>
        <v>0</v>
      </c>
      <c r="O56" s="6">
        <f>O28/((O38+O39+N38+N39)/2)</f>
        <v>0</v>
      </c>
      <c r="P56" s="6">
        <f>P28/((P38+P39+O38+O39)/2)</f>
        <v>0</v>
      </c>
      <c r="Q56" s="6">
        <f>Q28/((Q38+Q39+P38+P39)/2)</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51"/>
  <sheetViews>
    <sheetView showGridLines="0" workbookViewId="0"/>
  </sheetViews>
  <sheetFormatPr defaultRowHeight="15"/>
  <cols>
    <col min="1" max="1" width="40.7109375" customWidth="1"/>
    <col min="2" max="2" width="8.7109375" customWidth="1"/>
    <col min="3" max="17" width="11.7109375" customWidth="1"/>
  </cols>
  <sheetData>
    <row r="1" spans="1:12">
      <c r="A1" s="1" t="s">
        <v>130</v>
      </c>
    </row>
    <row r="3" spans="1:12">
      <c r="A3" s="3" t="s">
        <v>131</v>
      </c>
      <c r="B3" s="3"/>
      <c r="C3" s="3" t="s">
        <v>2</v>
      </c>
    </row>
    <row r="4" spans="1:12">
      <c r="A4" s="2" t="s">
        <v>132</v>
      </c>
      <c r="C4" s="6">
        <f>Inputs!$C$4-Inputs!$C$5</f>
        <v>0</v>
      </c>
    </row>
    <row r="5" spans="1:12">
      <c r="A5" s="2" t="s">
        <v>133</v>
      </c>
      <c r="C5" s="13">
        <f>0.67*Inputs!$C$11+0.33</f>
        <v>0</v>
      </c>
    </row>
    <row r="6" spans="1:12">
      <c r="A6" s="2" t="s">
        <v>134</v>
      </c>
      <c r="C6" s="6">
        <f>$C$4+$C$5*Inputs!$C$6</f>
        <v>0</v>
      </c>
    </row>
    <row r="7" spans="1:12">
      <c r="A7" s="2" t="s">
        <v>135</v>
      </c>
      <c r="C7" s="6">
        <f>Inputs!$C$12*(1-Inputs!$C$7)</f>
        <v>0</v>
      </c>
    </row>
    <row r="8" spans="1:12">
      <c r="A8" s="2" t="s">
        <v>136</v>
      </c>
      <c r="C8" s="5">
        <f>Model!$G$41</f>
        <v>0</v>
      </c>
    </row>
    <row r="9" spans="1:12">
      <c r="A9" s="2" t="s">
        <v>137</v>
      </c>
      <c r="C9" s="5">
        <f>Inputs!$C$15*Inputs!$C$16</f>
        <v>0</v>
      </c>
    </row>
    <row r="10" spans="1:12">
      <c r="A10" s="2" t="s">
        <v>138</v>
      </c>
      <c r="C10" s="6">
        <f>$C$8/($C$8+$C$9)</f>
        <v>0</v>
      </c>
    </row>
    <row r="11" spans="1:12">
      <c r="A11" s="2" t="s">
        <v>139</v>
      </c>
      <c r="C11" s="6">
        <f>(1-$C$10)*$C$6+$C$10*$C$7</f>
        <v>0</v>
      </c>
    </row>
    <row r="13" spans="1:12">
      <c r="A13" s="3" t="s">
        <v>140</v>
      </c>
      <c r="C13" s="3" t="s">
        <v>67</v>
      </c>
      <c r="D13" s="3" t="s">
        <v>68</v>
      </c>
      <c r="E13" s="3" t="s">
        <v>69</v>
      </c>
      <c r="F13" s="3" t="s">
        <v>70</v>
      </c>
      <c r="G13" s="3" t="s">
        <v>71</v>
      </c>
      <c r="H13" s="3" t="s">
        <v>72</v>
      </c>
      <c r="I13" s="3" t="s">
        <v>73</v>
      </c>
      <c r="J13" s="3" t="s">
        <v>74</v>
      </c>
      <c r="K13" s="3" t="s">
        <v>75</v>
      </c>
      <c r="L13" s="3" t="s">
        <v>76</v>
      </c>
    </row>
    <row r="14" spans="1:12">
      <c r="A14" s="2" t="s">
        <v>141</v>
      </c>
      <c r="C14" s="5">
        <f>(Model!$H$16-Model!$H$21)*(1-Inputs!$C$7)</f>
        <v>0</v>
      </c>
      <c r="D14" s="5">
        <f>(Model!$I$16-Model!$I$21)*(1-Inputs!$C$7)</f>
        <v>0</v>
      </c>
      <c r="E14" s="5">
        <f>(Model!$J$16-Model!$J$21)*(1-Inputs!$C$7)</f>
        <v>0</v>
      </c>
      <c r="F14" s="5">
        <f>(Model!$K$16-Model!$K$21)*(1-Inputs!$C$7)</f>
        <v>0</v>
      </c>
      <c r="G14" s="5">
        <f>(Model!$L$16-Model!$L$21)*(1-Inputs!$C$7)</f>
        <v>0</v>
      </c>
      <c r="H14" s="5">
        <f>(Model!$M$16-Model!$M$21)*(1-Inputs!$C$7)</f>
        <v>0</v>
      </c>
      <c r="I14" s="5">
        <f>(Model!$N$16-Model!$N$21)*(1-Inputs!$C$7)</f>
        <v>0</v>
      </c>
      <c r="J14" s="5">
        <f>(Model!$O$16-Model!$O$21)*(1-Inputs!$C$7)</f>
        <v>0</v>
      </c>
      <c r="K14" s="5">
        <f>(Model!$P$16-Model!$P$21)*(1-Inputs!$C$7)</f>
        <v>0</v>
      </c>
      <c r="L14" s="5">
        <f>(Model!$Q$16-Model!$Q$21)*(1-Inputs!$C$7)</f>
        <v>0</v>
      </c>
    </row>
    <row r="15" spans="1:12">
      <c r="A15" s="2" t="s">
        <v>97</v>
      </c>
      <c r="C15" s="5">
        <f>Model!$H$21</f>
        <v>0</v>
      </c>
      <c r="D15" s="5">
        <f>Model!$I$21</f>
        <v>0</v>
      </c>
      <c r="E15" s="5">
        <f>Model!$J$21</f>
        <v>0</v>
      </c>
      <c r="F15" s="5">
        <f>Model!$K$21</f>
        <v>0</v>
      </c>
      <c r="G15" s="5">
        <f>Model!$L$21</f>
        <v>0</v>
      </c>
      <c r="H15" s="5">
        <f>Model!$M$21</f>
        <v>0</v>
      </c>
      <c r="I15" s="5">
        <f>Model!$N$21</f>
        <v>0</v>
      </c>
      <c r="J15" s="5">
        <f>Model!$O$21</f>
        <v>0</v>
      </c>
      <c r="K15" s="5">
        <f>Model!$P$21</f>
        <v>0</v>
      </c>
      <c r="L15" s="5">
        <f>Model!$Q$21</f>
        <v>0</v>
      </c>
    </row>
    <row r="16" spans="1:12">
      <c r="A16" s="2" t="s">
        <v>84</v>
      </c>
      <c r="C16" s="5">
        <f>-Model!$H$6</f>
        <v>0</v>
      </c>
      <c r="D16" s="5">
        <f>-Model!$I$6</f>
        <v>0</v>
      </c>
      <c r="E16" s="5">
        <f>-Model!$J$6</f>
        <v>0</v>
      </c>
      <c r="F16" s="5">
        <f>-Model!$K$6</f>
        <v>0</v>
      </c>
      <c r="G16" s="5">
        <f>-Model!$L$6</f>
        <v>0</v>
      </c>
      <c r="H16" s="5">
        <f>-Model!$M$6</f>
        <v>0</v>
      </c>
      <c r="I16" s="5">
        <f>-Model!$N$6</f>
        <v>0</v>
      </c>
      <c r="J16" s="5">
        <f>-Model!$O$6</f>
        <v>0</v>
      </c>
      <c r="K16" s="5">
        <f>-Model!$P$6</f>
        <v>0</v>
      </c>
      <c r="L16" s="5">
        <f>-Model!$Q$6</f>
        <v>0</v>
      </c>
    </row>
    <row r="17" spans="1:12">
      <c r="A17" s="2" t="s">
        <v>142</v>
      </c>
      <c r="C17" s="5">
        <f>-Model!$H$47</f>
        <v>0</v>
      </c>
      <c r="D17" s="5">
        <f>-Model!$I$47</f>
        <v>0</v>
      </c>
      <c r="E17" s="5">
        <f>-Model!$J$47</f>
        <v>0</v>
      </c>
      <c r="F17" s="5">
        <f>-Model!$K$47</f>
        <v>0</v>
      </c>
      <c r="G17" s="5">
        <f>-Model!$L$47</f>
        <v>0</v>
      </c>
      <c r="H17" s="5">
        <f>-Model!$M$47</f>
        <v>0</v>
      </c>
      <c r="I17" s="5">
        <f>-Model!$N$47</f>
        <v>0</v>
      </c>
      <c r="J17" s="5">
        <f>-Model!$O$47</f>
        <v>0</v>
      </c>
      <c r="K17" s="5">
        <f>-Model!$P$47</f>
        <v>0</v>
      </c>
      <c r="L17" s="5">
        <f>-Model!$Q$47</f>
        <v>0</v>
      </c>
    </row>
    <row r="18" spans="1:12">
      <c r="A18" s="2" t="s">
        <v>143</v>
      </c>
      <c r="C18" s="14">
        <f>SUM(C14:C17)</f>
        <v>0</v>
      </c>
      <c r="D18" s="14">
        <f>SUM(D14:D17)</f>
        <v>0</v>
      </c>
      <c r="E18" s="14">
        <f>SUM(E14:E17)</f>
        <v>0</v>
      </c>
      <c r="F18" s="14">
        <f>SUM(F14:F17)</f>
        <v>0</v>
      </c>
      <c r="G18" s="14">
        <f>SUM(G14:G17)</f>
        <v>0</v>
      </c>
      <c r="H18" s="14">
        <f>SUM(H14:H17)</f>
        <v>0</v>
      </c>
      <c r="I18" s="14">
        <f>SUM(I14:I17)</f>
        <v>0</v>
      </c>
      <c r="J18" s="14">
        <f>SUM(J14:J17)</f>
        <v>0</v>
      </c>
      <c r="K18" s="14">
        <f>SUM(K14:K17)</f>
        <v>0</v>
      </c>
      <c r="L18" s="14">
        <f>SUM(L14:L17)</f>
        <v>0</v>
      </c>
    </row>
    <row r="19" spans="1:12">
      <c r="A19" s="2" t="s">
        <v>144</v>
      </c>
      <c r="C19" s="5">
        <f>C18*Inputs!$C$8</f>
        <v>0</v>
      </c>
      <c r="D19" s="5">
        <f>D18*1</f>
        <v>0</v>
      </c>
      <c r="E19" s="5">
        <f>E18*1</f>
        <v>0</v>
      </c>
      <c r="F19" s="5">
        <f>F18*1</f>
        <v>0</v>
      </c>
      <c r="G19" s="5">
        <f>G18*1</f>
        <v>0</v>
      </c>
      <c r="H19" s="5">
        <f>H18*1</f>
        <v>0</v>
      </c>
      <c r="I19" s="5">
        <f>I18*1</f>
        <v>0</v>
      </c>
      <c r="J19" s="5">
        <f>J18*1</f>
        <v>0</v>
      </c>
      <c r="K19" s="5">
        <f>K18*1</f>
        <v>0</v>
      </c>
      <c r="L19" s="5">
        <f>L18*1</f>
        <v>0</v>
      </c>
    </row>
    <row r="20" spans="1:12">
      <c r="A20" s="2" t="s">
        <v>145</v>
      </c>
      <c r="C20" s="13">
        <f>Inputs!$C$8+0</f>
        <v>0</v>
      </c>
      <c r="D20" s="13">
        <f>Inputs!$C$8+1</f>
        <v>0</v>
      </c>
      <c r="E20" s="13">
        <f>Inputs!$C$8+2</f>
        <v>0</v>
      </c>
      <c r="F20" s="13">
        <f>Inputs!$C$8+3</f>
        <v>0</v>
      </c>
      <c r="G20" s="13">
        <f>Inputs!$C$8+4</f>
        <v>0</v>
      </c>
      <c r="H20" s="13">
        <f>Inputs!$C$8+5</f>
        <v>0</v>
      </c>
      <c r="I20" s="13">
        <f>Inputs!$C$8+6</f>
        <v>0</v>
      </c>
      <c r="J20" s="13">
        <f>Inputs!$C$8+7</f>
        <v>0</v>
      </c>
      <c r="K20" s="13">
        <f>Inputs!$C$8+8</f>
        <v>0</v>
      </c>
      <c r="L20" s="13">
        <f>Inputs!$C$8+9</f>
        <v>0</v>
      </c>
    </row>
    <row r="21" spans="1:12">
      <c r="A21" s="2" t="s">
        <v>146</v>
      </c>
      <c r="C21" s="13">
        <f>1/(1+DCF!$C$11)^C20</f>
        <v>0</v>
      </c>
      <c r="D21" s="13">
        <f>1/(1+DCF!$C$11)^D20</f>
        <v>0</v>
      </c>
      <c r="E21" s="13">
        <f>1/(1+DCF!$C$11)^E20</f>
        <v>0</v>
      </c>
      <c r="F21" s="13">
        <f>1/(1+DCF!$C$11)^F20</f>
        <v>0</v>
      </c>
      <c r="G21" s="13">
        <f>1/(1+DCF!$C$11)^G20</f>
        <v>0</v>
      </c>
      <c r="H21" s="13">
        <f>1/(1+DCF!$C$11)^H20</f>
        <v>0</v>
      </c>
      <c r="I21" s="13">
        <f>1/(1+DCF!$C$11)^I20</f>
        <v>0</v>
      </c>
      <c r="J21" s="13">
        <f>1/(1+DCF!$C$11)^J20</f>
        <v>0</v>
      </c>
      <c r="K21" s="13">
        <f>1/(1+DCF!$C$11)^K20</f>
        <v>0</v>
      </c>
      <c r="L21" s="13">
        <f>1/(1+DCF!$C$11)^L20</f>
        <v>0</v>
      </c>
    </row>
    <row r="22" spans="1:12">
      <c r="A22" s="2" t="s">
        <v>147</v>
      </c>
      <c r="C22" s="5">
        <f>C19*C21</f>
        <v>0</v>
      </c>
      <c r="D22" s="5">
        <f>D19*D21</f>
        <v>0</v>
      </c>
      <c r="E22" s="5">
        <f>E19*E21</f>
        <v>0</v>
      </c>
      <c r="F22" s="5">
        <f>F19*F21</f>
        <v>0</v>
      </c>
      <c r="G22" s="5">
        <f>G19*G21</f>
        <v>0</v>
      </c>
      <c r="H22" s="5">
        <f>H19*H21</f>
        <v>0</v>
      </c>
      <c r="I22" s="5">
        <f>I19*I21</f>
        <v>0</v>
      </c>
      <c r="J22" s="5">
        <f>J19*J21</f>
        <v>0</v>
      </c>
      <c r="K22" s="5">
        <f>K19*K21</f>
        <v>0</v>
      </c>
      <c r="L22" s="5">
        <f>L19*L21</f>
        <v>0</v>
      </c>
    </row>
    <row r="25" spans="1:12">
      <c r="A25" s="2" t="s">
        <v>148</v>
      </c>
      <c r="C25" s="5">
        <f>SUM(C22:L22)</f>
        <v>0</v>
      </c>
    </row>
    <row r="26" spans="1:12">
      <c r="A26" s="2" t="s">
        <v>149</v>
      </c>
      <c r="C26" s="5">
        <f>L14*(1+Inputs!$C$13)*(1-Inputs!$C$13/Inputs!$C$14)/(DCF!$C$11-Inputs!$C$13)</f>
        <v>0</v>
      </c>
    </row>
    <row r="27" spans="1:12">
      <c r="A27" s="2" t="s">
        <v>150</v>
      </c>
      <c r="C27" s="5">
        <f>$C$26/(1+DCF!$C$11)^L20</f>
        <v>0</v>
      </c>
    </row>
    <row r="28" spans="1:12">
      <c r="A28" s="2" t="s">
        <v>151</v>
      </c>
      <c r="C28" s="14">
        <f>$C$25+$C$27</f>
        <v>0</v>
      </c>
    </row>
    <row r="29" spans="1:12">
      <c r="A29" s="2" t="s">
        <v>152</v>
      </c>
      <c r="C29" s="5">
        <f>-Model!$G$41</f>
        <v>0</v>
      </c>
    </row>
    <row r="30" spans="1:12">
      <c r="A30" s="2" t="s">
        <v>153</v>
      </c>
      <c r="C30" s="5">
        <f>Inputs!$C$17</f>
        <v>0</v>
      </c>
    </row>
    <row r="31" spans="1:12">
      <c r="A31" s="2" t="s">
        <v>154</v>
      </c>
      <c r="C31" s="5">
        <f>Model!$G$34</f>
        <v>0</v>
      </c>
    </row>
    <row r="32" spans="1:12">
      <c r="A32" s="2" t="s">
        <v>155</v>
      </c>
      <c r="C32" s="5">
        <f>-Inputs!$C$18</f>
        <v>0</v>
      </c>
    </row>
    <row r="33" spans="1:7">
      <c r="A33" s="2" t="s">
        <v>156</v>
      </c>
      <c r="C33" s="14">
        <f>SUM($C$28,$C$29,$C$30,$C$31,$C$32)</f>
        <v>0</v>
      </c>
    </row>
    <row r="34" spans="1:7">
      <c r="A34" s="2" t="s">
        <v>157</v>
      </c>
      <c r="C34" s="4">
        <f>$C$33/Inputs!$C$16</f>
        <v>0</v>
      </c>
    </row>
    <row r="35" spans="1:7">
      <c r="A35" s="2" t="s">
        <v>158</v>
      </c>
      <c r="C35" s="6">
        <f>$C$27/$C$28</f>
        <v>0</v>
      </c>
    </row>
    <row r="36" spans="1:7">
      <c r="A36" s="2" t="s">
        <v>159</v>
      </c>
      <c r="C36" s="5">
        <f>$C$34*(1+DCF!$C$6)-Model!$H$30/Inputs!$C$16</f>
        <v>0</v>
      </c>
    </row>
    <row r="37" spans="1:7">
      <c r="A37" s="2" t="s">
        <v>160</v>
      </c>
      <c r="C37" s="5">
        <f>Inputs!$C$19*Model!$H$16</f>
        <v>0</v>
      </c>
    </row>
    <row r="38" spans="1:7">
      <c r="A38" s="2" t="s">
        <v>161</v>
      </c>
      <c r="C38" s="5">
        <f>($C$37-Model!$H$41-Model!$H$42+Inputs!$C$17+Model!$H$36-Model!$H$40)/Inputs!$C$16</f>
        <v>0</v>
      </c>
    </row>
    <row r="39" spans="1:7">
      <c r="A39" s="2" t="s">
        <v>162</v>
      </c>
      <c r="C39" s="2" t="s">
        <v>163</v>
      </c>
    </row>
    <row r="40" spans="1:7">
      <c r="A40" s="2" t="s">
        <v>164</v>
      </c>
      <c r="C40" s="4">
        <f>Inputs!$C$9*$C$36+(1-Inputs!$C$9)*$C$38</f>
        <v>0</v>
      </c>
    </row>
    <row r="41" spans="1:7">
      <c r="A41" s="2" t="s">
        <v>165</v>
      </c>
      <c r="C41" s="6">
        <f>$C$40/Inputs!$C$15-1</f>
        <v>0</v>
      </c>
    </row>
    <row r="42" spans="1:7">
      <c r="A42" s="2" t="s">
        <v>166</v>
      </c>
      <c r="C42" s="3">
        <f>IF($C$41&gt;0.15,"BUY",IF($C$41&lt;-0.1,"SELL","HOLD"))</f>
        <v>0</v>
      </c>
    </row>
    <row r="45" spans="1:7">
      <c r="A45" s="3" t="s">
        <v>167</v>
      </c>
    </row>
    <row r="46" spans="1:7">
      <c r="C46" s="8">
        <v>0.04</v>
      </c>
      <c r="D46" s="8">
        <v>0.045</v>
      </c>
      <c r="E46" s="8">
        <v>0.05</v>
      </c>
      <c r="F46" s="8">
        <v>0.055</v>
      </c>
      <c r="G46" s="8">
        <v>0.06</v>
      </c>
    </row>
    <row r="47" spans="1:7">
      <c r="B47" s="6">
        <f>DCF!$C$11+-0.01</f>
        <v>0</v>
      </c>
      <c r="C47" s="5">
        <f>(SUMPRODUCT($C$19:$L$19/(1+$B47)^$C$20:$L$20)+$L$14*(1+C$46)*(1-C$46/Inputs!$C$14)/($B47-C$46)/(1+$B47)^$L$20-Model!$G$41+Inputs!$C$17+Model!$G$34-Inputs!$C$18)/Inputs!$C$16</f>
        <v>0</v>
      </c>
      <c r="D47" s="5">
        <f>(SUMPRODUCT($C$19:$L$19/(1+$B47)^$C$20:$L$20)+$L$14*(1+D$46)*(1-D$46/Inputs!$C$14)/($B47-D$46)/(1+$B47)^$L$20-Model!$G$41+Inputs!$C$17+Model!$G$34-Inputs!$C$18)/Inputs!$C$16</f>
        <v>0</v>
      </c>
      <c r="E47" s="5">
        <f>(SUMPRODUCT($C$19:$L$19/(1+$B47)^$C$20:$L$20)+$L$14*(1+E$46)*(1-E$46/Inputs!$C$14)/($B47-E$46)/(1+$B47)^$L$20-Model!$G$41+Inputs!$C$17+Model!$G$34-Inputs!$C$18)/Inputs!$C$16</f>
        <v>0</v>
      </c>
      <c r="F47" s="5">
        <f>(SUMPRODUCT($C$19:$L$19/(1+$B47)^$C$20:$L$20)+$L$14*(1+F$46)*(1-F$46/Inputs!$C$14)/($B47-F$46)/(1+$B47)^$L$20-Model!$G$41+Inputs!$C$17+Model!$G$34-Inputs!$C$18)/Inputs!$C$16</f>
        <v>0</v>
      </c>
      <c r="G47" s="5">
        <f>(SUMPRODUCT($C$19:$L$19/(1+$B47)^$C$20:$L$20)+$L$14*(1+G$46)*(1-G$46/Inputs!$C$14)/($B47-G$46)/(1+$B47)^$L$20-Model!$G$41+Inputs!$C$17+Model!$G$34-Inputs!$C$18)/Inputs!$C$16</f>
        <v>0</v>
      </c>
    </row>
    <row r="48" spans="1:7">
      <c r="B48" s="6">
        <f>DCF!$C$11+-0.005</f>
        <v>0</v>
      </c>
      <c r="C48" s="5">
        <f>(SUMPRODUCT($C$19:$L$19/(1+$B48)^$C$20:$L$20)+$L$14*(1+C$46)*(1-C$46/Inputs!$C$14)/($B48-C$46)/(1+$B48)^$L$20-Model!$G$41+Inputs!$C$17+Model!$G$34-Inputs!$C$18)/Inputs!$C$16</f>
        <v>0</v>
      </c>
      <c r="D48" s="5">
        <f>(SUMPRODUCT($C$19:$L$19/(1+$B48)^$C$20:$L$20)+$L$14*(1+D$46)*(1-D$46/Inputs!$C$14)/($B48-D$46)/(1+$B48)^$L$20-Model!$G$41+Inputs!$C$17+Model!$G$34-Inputs!$C$18)/Inputs!$C$16</f>
        <v>0</v>
      </c>
      <c r="E48" s="5">
        <f>(SUMPRODUCT($C$19:$L$19/(1+$B48)^$C$20:$L$20)+$L$14*(1+E$46)*(1-E$46/Inputs!$C$14)/($B48-E$46)/(1+$B48)^$L$20-Model!$G$41+Inputs!$C$17+Model!$G$34-Inputs!$C$18)/Inputs!$C$16</f>
        <v>0</v>
      </c>
      <c r="F48" s="5">
        <f>(SUMPRODUCT($C$19:$L$19/(1+$B48)^$C$20:$L$20)+$L$14*(1+F$46)*(1-F$46/Inputs!$C$14)/($B48-F$46)/(1+$B48)^$L$20-Model!$G$41+Inputs!$C$17+Model!$G$34-Inputs!$C$18)/Inputs!$C$16</f>
        <v>0</v>
      </c>
      <c r="G48" s="5">
        <f>(SUMPRODUCT($C$19:$L$19/(1+$B48)^$C$20:$L$20)+$L$14*(1+G$46)*(1-G$46/Inputs!$C$14)/($B48-G$46)/(1+$B48)^$L$20-Model!$G$41+Inputs!$C$17+Model!$G$34-Inputs!$C$18)/Inputs!$C$16</f>
        <v>0</v>
      </c>
    </row>
    <row r="49" spans="2:7">
      <c r="B49" s="6">
        <f>DCF!$C$11+0</f>
        <v>0</v>
      </c>
      <c r="C49" s="5">
        <f>(SUMPRODUCT($C$19:$L$19/(1+$B49)^$C$20:$L$20)+$L$14*(1+C$46)*(1-C$46/Inputs!$C$14)/($B49-C$46)/(1+$B49)^$L$20-Model!$G$41+Inputs!$C$17+Model!$G$34-Inputs!$C$18)/Inputs!$C$16</f>
        <v>0</v>
      </c>
      <c r="D49" s="5">
        <f>(SUMPRODUCT($C$19:$L$19/(1+$B49)^$C$20:$L$20)+$L$14*(1+D$46)*(1-D$46/Inputs!$C$14)/($B49-D$46)/(1+$B49)^$L$20-Model!$G$41+Inputs!$C$17+Model!$G$34-Inputs!$C$18)/Inputs!$C$16</f>
        <v>0</v>
      </c>
      <c r="E49" s="5">
        <f>(SUMPRODUCT($C$19:$L$19/(1+$B49)^$C$20:$L$20)+$L$14*(1+E$46)*(1-E$46/Inputs!$C$14)/($B49-E$46)/(1+$B49)^$L$20-Model!$G$41+Inputs!$C$17+Model!$G$34-Inputs!$C$18)/Inputs!$C$16</f>
        <v>0</v>
      </c>
      <c r="F49" s="5">
        <f>(SUMPRODUCT($C$19:$L$19/(1+$B49)^$C$20:$L$20)+$L$14*(1+F$46)*(1-F$46/Inputs!$C$14)/($B49-F$46)/(1+$B49)^$L$20-Model!$G$41+Inputs!$C$17+Model!$G$34-Inputs!$C$18)/Inputs!$C$16</f>
        <v>0</v>
      </c>
      <c r="G49" s="5">
        <f>(SUMPRODUCT($C$19:$L$19/(1+$B49)^$C$20:$L$20)+$L$14*(1+G$46)*(1-G$46/Inputs!$C$14)/($B49-G$46)/(1+$B49)^$L$20-Model!$G$41+Inputs!$C$17+Model!$G$34-Inputs!$C$18)/Inputs!$C$16</f>
        <v>0</v>
      </c>
    </row>
    <row r="50" spans="2:7">
      <c r="B50" s="6">
        <f>DCF!$C$11+0.005</f>
        <v>0</v>
      </c>
      <c r="C50" s="5">
        <f>(SUMPRODUCT($C$19:$L$19/(1+$B50)^$C$20:$L$20)+$L$14*(1+C$46)*(1-C$46/Inputs!$C$14)/($B50-C$46)/(1+$B50)^$L$20-Model!$G$41+Inputs!$C$17+Model!$G$34-Inputs!$C$18)/Inputs!$C$16</f>
        <v>0</v>
      </c>
      <c r="D50" s="5">
        <f>(SUMPRODUCT($C$19:$L$19/(1+$B50)^$C$20:$L$20)+$L$14*(1+D$46)*(1-D$46/Inputs!$C$14)/($B50-D$46)/(1+$B50)^$L$20-Model!$G$41+Inputs!$C$17+Model!$G$34-Inputs!$C$18)/Inputs!$C$16</f>
        <v>0</v>
      </c>
      <c r="E50" s="5">
        <f>(SUMPRODUCT($C$19:$L$19/(1+$B50)^$C$20:$L$20)+$L$14*(1+E$46)*(1-E$46/Inputs!$C$14)/($B50-E$46)/(1+$B50)^$L$20-Model!$G$41+Inputs!$C$17+Model!$G$34-Inputs!$C$18)/Inputs!$C$16</f>
        <v>0</v>
      </c>
      <c r="F50" s="5">
        <f>(SUMPRODUCT($C$19:$L$19/(1+$B50)^$C$20:$L$20)+$L$14*(1+F$46)*(1-F$46/Inputs!$C$14)/($B50-F$46)/(1+$B50)^$L$20-Model!$G$41+Inputs!$C$17+Model!$G$34-Inputs!$C$18)/Inputs!$C$16</f>
        <v>0</v>
      </c>
      <c r="G50" s="5">
        <f>(SUMPRODUCT($C$19:$L$19/(1+$B50)^$C$20:$L$20)+$L$14*(1+G$46)*(1-G$46/Inputs!$C$14)/($B50-G$46)/(1+$B50)^$L$20-Model!$G$41+Inputs!$C$17+Model!$G$34-Inputs!$C$18)/Inputs!$C$16</f>
        <v>0</v>
      </c>
    </row>
    <row r="51" spans="2:7">
      <c r="B51" s="6">
        <f>DCF!$C$11+0.01</f>
        <v>0</v>
      </c>
      <c r="C51" s="5">
        <f>(SUMPRODUCT($C$19:$L$19/(1+$B51)^$C$20:$L$20)+$L$14*(1+C$46)*(1-C$46/Inputs!$C$14)/($B51-C$46)/(1+$B51)^$L$20-Model!$G$41+Inputs!$C$17+Model!$G$34-Inputs!$C$18)/Inputs!$C$16</f>
        <v>0</v>
      </c>
      <c r="D51" s="5">
        <f>(SUMPRODUCT($C$19:$L$19/(1+$B51)^$C$20:$L$20)+$L$14*(1+D$46)*(1-D$46/Inputs!$C$14)/($B51-D$46)/(1+$B51)^$L$20-Model!$G$41+Inputs!$C$17+Model!$G$34-Inputs!$C$18)/Inputs!$C$16</f>
        <v>0</v>
      </c>
      <c r="E51" s="5">
        <f>(SUMPRODUCT($C$19:$L$19/(1+$B51)^$C$20:$L$20)+$L$14*(1+E$46)*(1-E$46/Inputs!$C$14)/($B51-E$46)/(1+$B51)^$L$20-Model!$G$41+Inputs!$C$17+Model!$G$34-Inputs!$C$18)/Inputs!$C$16</f>
        <v>0</v>
      </c>
      <c r="F51" s="5">
        <f>(SUMPRODUCT($C$19:$L$19/(1+$B51)^$C$20:$L$20)+$L$14*(1+F$46)*(1-F$46/Inputs!$C$14)/($B51-F$46)/(1+$B51)^$L$20-Model!$G$41+Inputs!$C$17+Model!$G$34-Inputs!$C$18)/Inputs!$C$16</f>
        <v>0</v>
      </c>
      <c r="G51" s="5">
        <f>(SUMPRODUCT($C$19:$L$19/(1+$B51)^$C$20:$L$20)+$L$14*(1+G$46)*(1-G$46/Inputs!$C$14)/($B51-G$46)/(1+$B51)^$L$20-Model!$G$41+Inputs!$C$17+Model!$G$34-Inputs!$C$18)/Inputs!$C$16</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7"/>
  <sheetViews>
    <sheetView showGridLines="0" workbookViewId="0"/>
  </sheetViews>
  <sheetFormatPr defaultRowHeight="15"/>
  <cols>
    <col min="1" max="2" width="22.7109375" customWidth="1"/>
    <col min="3" max="17" width="11.7109375" customWidth="1"/>
  </cols>
  <sheetData>
    <row r="1" spans="1:10">
      <c r="A1" s="1" t="s">
        <v>177</v>
      </c>
    </row>
    <row r="3" spans="1:10">
      <c r="A3" s="3" t="s">
        <v>178</v>
      </c>
      <c r="B3" s="3" t="s">
        <v>179</v>
      </c>
      <c r="C3" s="3" t="s">
        <v>180</v>
      </c>
      <c r="D3" s="3" t="s">
        <v>181</v>
      </c>
      <c r="E3" s="3" t="s">
        <v>182</v>
      </c>
      <c r="F3" s="3" t="s">
        <v>183</v>
      </c>
      <c r="G3" s="3" t="s">
        <v>184</v>
      </c>
      <c r="H3" s="3" t="s">
        <v>185</v>
      </c>
      <c r="I3" s="3" t="s">
        <v>94</v>
      </c>
      <c r="J3" s="3" t="s">
        <v>186</v>
      </c>
    </row>
    <row r="4" spans="1:10">
      <c r="A4" s="2" t="s">
        <v>187</v>
      </c>
      <c r="B4" s="2" t="s">
        <v>188</v>
      </c>
      <c r="C4" s="5">
        <v>390997.185143875</v>
      </c>
      <c r="D4" s="5">
        <v>444740.665143875</v>
      </c>
      <c r="E4" s="11">
        <v>22.45484525617868</v>
      </c>
      <c r="F4" s="11">
        <v>30.14395074734986</v>
      </c>
      <c r="G4" s="11">
        <v>6.021177220134515</v>
      </c>
      <c r="H4" s="6">
        <v>0.2138946604663434</v>
      </c>
      <c r="I4" s="6">
        <v>0.365148135174499</v>
      </c>
      <c r="J4" s="11">
        <v>2.639525396344542</v>
      </c>
    </row>
    <row r="5" spans="1:10">
      <c r="A5" s="2" t="s">
        <v>189</v>
      </c>
      <c r="B5" s="2" t="s">
        <v>190</v>
      </c>
      <c r="C5" s="5">
        <v>316693.11593644</v>
      </c>
      <c r="D5" s="5">
        <v>589225.82593644</v>
      </c>
      <c r="E5" s="11">
        <v>10.62855488900105</v>
      </c>
      <c r="F5" s="11">
        <v>11.49688215844188</v>
      </c>
      <c r="G5" s="11">
        <v>1.55871321384632</v>
      </c>
      <c r="H5" s="6">
        <v>0.1422657890183784</v>
      </c>
      <c r="I5" s="6">
        <v>0.2958507884836033</v>
      </c>
      <c r="J5" s="11">
        <v>4.772093509866878</v>
      </c>
    </row>
    <row r="6" spans="1:10">
      <c r="A6" s="2" t="s">
        <v>191</v>
      </c>
      <c r="B6" s="2" t="s">
        <v>192</v>
      </c>
      <c r="C6" s="5">
        <v>250651.27292205</v>
      </c>
      <c r="D6" s="5">
        <v>393788.9629220501</v>
      </c>
      <c r="E6" s="11">
        <v>11.99442487045932</v>
      </c>
      <c r="F6" s="11">
        <v>15.73651889264503</v>
      </c>
      <c r="G6" s="11">
        <v>2.494191423587976</v>
      </c>
      <c r="H6" s="6">
        <v>0.1649228347924227</v>
      </c>
      <c r="I6" s="6">
        <v>0.7025228425309739</v>
      </c>
      <c r="J6" s="11">
        <v>4.359833389174865</v>
      </c>
    </row>
    <row r="7" spans="1:10">
      <c r="A7" s="2" t="s">
        <v>193</v>
      </c>
      <c r="B7" s="2" t="s">
        <v>194</v>
      </c>
      <c r="C7" s="5">
        <v>213572.8602573</v>
      </c>
      <c r="D7" s="5">
        <v>322958.8602573</v>
      </c>
      <c r="E7" s="11">
        <v>29.94518871184979</v>
      </c>
      <c r="F7" s="11">
        <v>107.4850831692501</v>
      </c>
      <c r="G7" s="11">
        <v>10.69736339881292</v>
      </c>
      <c r="H7" s="6">
        <v>0.1237929100990592</v>
      </c>
      <c r="I7" s="6">
        <v>0.8342357673267327</v>
      </c>
      <c r="J7" s="11">
        <v>9.223180343069078</v>
      </c>
    </row>
    <row r="8" spans="1:10">
      <c r="A8" s="2" t="s">
        <v>195</v>
      </c>
      <c r="B8" s="2" t="s">
        <v>196</v>
      </c>
      <c r="C8" s="5">
        <v>117428.72835225</v>
      </c>
      <c r="D8" s="5">
        <v>195874.79835225</v>
      </c>
      <c r="E8" s="11">
        <v>14.75961105811544</v>
      </c>
      <c r="F8" s="11">
        <v>22.94426110829425</v>
      </c>
      <c r="G8" s="11">
        <v>2.975289559953633</v>
      </c>
      <c r="H8" s="6">
        <v>0.1359200095606103</v>
      </c>
      <c r="I8" s="6">
        <v>0.2125774880263979</v>
      </c>
      <c r="J8" s="11">
        <v>5.302931956898501</v>
      </c>
    </row>
    <row r="9" spans="1:10">
      <c r="A9" s="2" t="s">
        <v>197</v>
      </c>
      <c r="B9" s="2" t="s">
        <v>198</v>
      </c>
      <c r="C9" s="5">
        <v>92818.85147831999</v>
      </c>
      <c r="D9" s="5">
        <v>164481.69147832</v>
      </c>
      <c r="E9" s="11">
        <v>16.33707702406834</v>
      </c>
      <c r="F9" s="11">
        <v>33.60566671916003</v>
      </c>
      <c r="G9" s="11">
        <v>3.018401075682742</v>
      </c>
      <c r="H9" s="6">
        <v>0.0950578193832599</v>
      </c>
      <c r="I9" s="6">
        <v>0.532670229088408</v>
      </c>
      <c r="J9" s="11">
        <v>6.837205999205404</v>
      </c>
    </row>
    <row r="10" spans="1:10">
      <c r="A10" s="2" t="s">
        <v>199</v>
      </c>
      <c r="B10" s="2" t="s">
        <v>200</v>
      </c>
      <c r="C10" s="5">
        <v>76342.264518</v>
      </c>
      <c r="D10" s="5">
        <v>132109.384518</v>
      </c>
      <c r="E10" s="11">
        <v>32.24539529362949</v>
      </c>
      <c r="F10" s="11">
        <v>18.09058400900474</v>
      </c>
      <c r="G10" s="11">
        <v>1.842369489055675</v>
      </c>
      <c r="H10" s="6">
        <v>0.1040626348560508</v>
      </c>
      <c r="I10" s="6">
        <v>0.3527335342229875</v>
      </c>
      <c r="J10" s="11">
        <v>11.9110202587259</v>
      </c>
    </row>
    <row r="11" spans="1:10">
      <c r="A11" s="2" t="s">
        <v>201</v>
      </c>
      <c r="B11" s="2" t="s">
        <v>196</v>
      </c>
      <c r="C11" s="5">
        <v>63219.73850477999</v>
      </c>
      <c r="D11" s="5">
        <v>75504.74850477999</v>
      </c>
      <c r="E11" s="11">
        <v>13.53859575126053</v>
      </c>
      <c r="F11" s="11">
        <v>25.60540239156743</v>
      </c>
      <c r="G11" s="11">
        <v>3.314272005493053</v>
      </c>
      <c r="H11" s="6">
        <v>0.1345870809484873</v>
      </c>
      <c r="I11" s="6">
        <v>0.1925360767796727</v>
      </c>
      <c r="J11" s="11">
        <v>2.089221803837189</v>
      </c>
    </row>
    <row r="12" spans="1:10">
      <c r="A12" s="2" t="s">
        <v>202</v>
      </c>
      <c r="B12" s="2" t="s">
        <v>203</v>
      </c>
      <c r="C12" s="5">
        <v>36406.144169295</v>
      </c>
      <c r="D12" s="5">
        <v>67334.034169295</v>
      </c>
      <c r="E12" s="11">
        <v>12.11479564039133</v>
      </c>
      <c r="F12" s="11">
        <v>9.659364332527195</v>
      </c>
      <c r="G12" s="11">
        <v>1.691342353974216</v>
      </c>
      <c r="H12" s="6">
        <v>0.1872888093818326</v>
      </c>
      <c r="I12" s="6">
        <v>0.3172555511159313</v>
      </c>
      <c r="J12" s="11">
        <v>4.890003598416697</v>
      </c>
    </row>
    <row r="13" spans="1:10">
      <c r="A13" s="2" t="s">
        <v>204</v>
      </c>
      <c r="B13" s="2" t="s">
        <v>200</v>
      </c>
      <c r="C13" s="5">
        <v>24270.4150008</v>
      </c>
      <c r="D13" s="5">
        <v>54422.8450008</v>
      </c>
      <c r="E13" s="11">
        <v>16.19245611448974</v>
      </c>
      <c r="F13" s="11">
        <v>37.8043847364486</v>
      </c>
      <c r="G13" s="11">
        <v>1.704502774127397</v>
      </c>
      <c r="H13" s="6">
        <v>0.045182630727004</v>
      </c>
      <c r="I13" s="6">
        <v>0.7422703180212014</v>
      </c>
      <c r="J13" s="11">
        <v>8.968179113359119</v>
      </c>
    </row>
    <row r="14" spans="1:10">
      <c r="A14" s="2" t="s">
        <v>205</v>
      </c>
      <c r="B14" s="2" t="s">
        <v>196</v>
      </c>
      <c r="C14" s="5">
        <v>18539.42803398</v>
      </c>
      <c r="D14" s="5">
        <v>35265.42803398</v>
      </c>
      <c r="E14" s="11">
        <v>9.731078375822296</v>
      </c>
      <c r="F14" s="11">
        <v>11.45823735103832</v>
      </c>
      <c r="G14" s="11">
        <v>1.47960319505028</v>
      </c>
      <c r="H14" s="6">
        <v>0.1318663406682966</v>
      </c>
      <c r="I14" s="6">
        <v>0.1951534733441034</v>
      </c>
      <c r="J14" s="11">
        <v>4.433634105960265</v>
      </c>
    </row>
    <row r="15" spans="1:10">
      <c r="A15" s="2" t="s">
        <v>206</v>
      </c>
      <c r="B15" s="2" t="s">
        <v>188</v>
      </c>
      <c r="C15" s="5">
        <v>10876.439158449</v>
      </c>
      <c r="D15" s="5">
        <v>13512.489158449</v>
      </c>
      <c r="E15" s="11">
        <v>9.884776268068032</v>
      </c>
      <c r="F15" s="11">
        <v>24.11627307860089</v>
      </c>
      <c r="G15" s="11">
        <v>0.8542600658536758</v>
      </c>
      <c r="H15" s="6">
        <v>0.0360612481509615</v>
      </c>
      <c r="I15" s="6">
        <v>0.2457307208340823</v>
      </c>
      <c r="J15" s="11">
        <v>1.928346744696416</v>
      </c>
    </row>
    <row r="16" spans="1:10">
      <c r="A16" s="2" t="s">
        <v>207</v>
      </c>
      <c r="B16" s="2" t="s">
        <v>188</v>
      </c>
      <c r="C16" s="5">
        <v>8507.280877061999</v>
      </c>
      <c r="D16" s="5">
        <v>22815.030877062</v>
      </c>
      <c r="E16" s="11">
        <v>9.646947516728121</v>
      </c>
      <c r="G16" s="11">
        <v>0.5303791070487531</v>
      </c>
      <c r="H16" s="6">
        <v>-0.0208172468110078</v>
      </c>
      <c r="I16" s="6">
        <v>0.3103674540682414</v>
      </c>
      <c r="J16" s="11">
        <v>6.049788583509514</v>
      </c>
    </row>
    <row r="17" spans="1:10">
      <c r="A17" s="2" t="s">
        <v>208</v>
      </c>
      <c r="B17" s="2" t="s">
        <v>209</v>
      </c>
      <c r="C17" s="5">
        <v>4590.793050389</v>
      </c>
      <c r="D17" s="5">
        <v>2852.353050389</v>
      </c>
      <c r="E17" s="11">
        <v>3.197705213440583</v>
      </c>
      <c r="F17" s="11">
        <v>6.402779707655509</v>
      </c>
      <c r="G17" s="11">
        <v>0.7675627905682997</v>
      </c>
      <c r="H17" s="6">
        <v>0.1216697777023587</v>
      </c>
      <c r="I17" s="6">
        <v>0.0531870490728042</v>
      </c>
      <c r="J17" s="11">
        <v>-3.15719730941704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53"/>
  <sheetViews>
    <sheetView showGridLines="0" workbookViewId="0"/>
  </sheetViews>
  <sheetFormatPr defaultRowHeight="15"/>
  <cols>
    <col min="1" max="1" width="10.7109375" customWidth="1"/>
    <col min="2" max="2" width="6.7109375" customWidth="1"/>
    <col min="3" max="3" width="30.7109375" customWidth="1"/>
    <col min="4" max="4" width="110.7109375" customWidth="1"/>
    <col min="5" max="17" width="11.7109375" customWidth="1"/>
  </cols>
  <sheetData>
    <row r="1" spans="1:4">
      <c r="A1" s="1" t="s">
        <v>210</v>
      </c>
    </row>
    <row r="3" spans="1:4">
      <c r="A3" s="3" t="s">
        <v>211</v>
      </c>
      <c r="B3" s="3" t="s">
        <v>212</v>
      </c>
      <c r="C3" s="3" t="s">
        <v>213</v>
      </c>
      <c r="D3" s="3" t="s">
        <v>214</v>
      </c>
    </row>
    <row r="4" spans="1:4">
      <c r="A4" s="16" t="s">
        <v>215</v>
      </c>
      <c r="B4" s="16">
        <v>4</v>
      </c>
      <c r="C4" s="16" t="s">
        <v>216</v>
      </c>
      <c r="D4" s="16" t="s">
        <v>217</v>
      </c>
    </row>
    <row r="5" spans="1:4">
      <c r="A5" s="16" t="s">
        <v>215</v>
      </c>
      <c r="B5" s="16">
        <v>14</v>
      </c>
      <c r="C5" s="16" t="s">
        <v>218</v>
      </c>
      <c r="D5" s="16" t="s">
        <v>219</v>
      </c>
    </row>
    <row r="6" spans="1:4">
      <c r="A6" s="16" t="s">
        <v>215</v>
      </c>
      <c r="B6" s="16">
        <v>5</v>
      </c>
      <c r="C6" s="16" t="s">
        <v>220</v>
      </c>
      <c r="D6" s="16" t="s">
        <v>221</v>
      </c>
    </row>
    <row r="7" spans="1:4">
      <c r="A7" s="16" t="s">
        <v>215</v>
      </c>
      <c r="B7" s="16">
        <v>17</v>
      </c>
      <c r="C7" s="16" t="s">
        <v>222</v>
      </c>
      <c r="D7" s="16" t="s">
        <v>223</v>
      </c>
    </row>
    <row r="8" spans="1:4">
      <c r="A8" s="16" t="s">
        <v>215</v>
      </c>
      <c r="B8" s="16">
        <v>16</v>
      </c>
      <c r="C8" s="16" t="s">
        <v>224</v>
      </c>
      <c r="D8" s="16" t="s">
        <v>225</v>
      </c>
    </row>
    <row r="9" spans="1:4">
      <c r="A9" s="16" t="s">
        <v>215</v>
      </c>
      <c r="B9" s="16">
        <v>15</v>
      </c>
      <c r="C9" s="16" t="s">
        <v>226</v>
      </c>
      <c r="D9" s="16" t="s">
        <v>227</v>
      </c>
    </row>
    <row r="10" spans="1:4">
      <c r="A10" s="16" t="s">
        <v>215</v>
      </c>
      <c r="B10" s="16">
        <v>14</v>
      </c>
      <c r="C10" s="16" t="s">
        <v>228</v>
      </c>
      <c r="D10" s="16" t="s">
        <v>229</v>
      </c>
    </row>
    <row r="11" spans="1:4">
      <c r="A11" s="16" t="s">
        <v>215</v>
      </c>
      <c r="B11" s="16">
        <v>14</v>
      </c>
      <c r="C11" s="16" t="s">
        <v>230</v>
      </c>
      <c r="D11" s="16" t="s">
        <v>231</v>
      </c>
    </row>
    <row r="12" spans="1:4">
      <c r="A12" s="16" t="s">
        <v>215</v>
      </c>
      <c r="B12" s="16">
        <v>14</v>
      </c>
      <c r="C12" s="16" t="s">
        <v>232</v>
      </c>
      <c r="D12" s="16" t="s">
        <v>233</v>
      </c>
    </row>
    <row r="13" spans="1:4">
      <c r="A13" s="16" t="s">
        <v>215</v>
      </c>
      <c r="B13" s="16">
        <v>14</v>
      </c>
      <c r="C13" s="16" t="s">
        <v>234</v>
      </c>
      <c r="D13" s="16" t="s">
        <v>235</v>
      </c>
    </row>
    <row r="14" spans="1:4">
      <c r="A14" s="16" t="s">
        <v>215</v>
      </c>
      <c r="B14" s="16">
        <v>15</v>
      </c>
      <c r="C14" s="16" t="s">
        <v>236</v>
      </c>
      <c r="D14" s="16" t="s">
        <v>237</v>
      </c>
    </row>
    <row r="15" spans="1:4">
      <c r="A15" s="16" t="s">
        <v>215</v>
      </c>
      <c r="B15" s="16">
        <v>12</v>
      </c>
      <c r="C15" s="16" t="s">
        <v>238</v>
      </c>
      <c r="D15" s="16" t="s">
        <v>239</v>
      </c>
    </row>
    <row r="16" spans="1:4">
      <c r="A16" s="16" t="s">
        <v>215</v>
      </c>
      <c r="B16" s="16">
        <v>9</v>
      </c>
      <c r="C16" s="16" t="s">
        <v>240</v>
      </c>
      <c r="D16" s="16" t="s">
        <v>241</v>
      </c>
    </row>
    <row r="17" spans="1:4">
      <c r="A17" s="16" t="s">
        <v>215</v>
      </c>
      <c r="B17" s="16">
        <v>7</v>
      </c>
      <c r="C17" s="16" t="s">
        <v>242</v>
      </c>
      <c r="D17" s="16" t="s">
        <v>243</v>
      </c>
    </row>
    <row r="18" spans="1:4">
      <c r="A18" s="16" t="s">
        <v>215</v>
      </c>
      <c r="B18" s="16">
        <v>7</v>
      </c>
      <c r="C18" s="16" t="s">
        <v>244</v>
      </c>
      <c r="D18" s="16" t="s">
        <v>245</v>
      </c>
    </row>
    <row r="19" spans="1:4">
      <c r="A19" s="16" t="s">
        <v>215</v>
      </c>
      <c r="B19" s="16">
        <v>7</v>
      </c>
      <c r="C19" s="16" t="s">
        <v>246</v>
      </c>
      <c r="D19" s="16" t="s">
        <v>247</v>
      </c>
    </row>
    <row r="20" spans="1:4">
      <c r="A20" s="16" t="s">
        <v>215</v>
      </c>
      <c r="B20" s="16">
        <v>6</v>
      </c>
      <c r="C20" s="16" t="s">
        <v>248</v>
      </c>
      <c r="D20" s="16" t="s">
        <v>249</v>
      </c>
    </row>
    <row r="21" spans="1:4">
      <c r="A21" s="16" t="s">
        <v>215</v>
      </c>
      <c r="B21" s="16">
        <v>6</v>
      </c>
      <c r="C21" s="16" t="s">
        <v>250</v>
      </c>
      <c r="D21" s="16" t="s">
        <v>251</v>
      </c>
    </row>
    <row r="22" spans="1:4">
      <c r="A22" s="16" t="s">
        <v>215</v>
      </c>
      <c r="B22" s="16">
        <v>10</v>
      </c>
      <c r="C22" s="16" t="s">
        <v>252</v>
      </c>
      <c r="D22" s="16" t="s">
        <v>253</v>
      </c>
    </row>
    <row r="23" spans="1:4">
      <c r="A23" s="16" t="s">
        <v>254</v>
      </c>
      <c r="B23" s="16">
        <v>17</v>
      </c>
      <c r="C23" s="16" t="s">
        <v>244</v>
      </c>
      <c r="D23" s="16" t="s">
        <v>255</v>
      </c>
    </row>
    <row r="24" spans="1:4">
      <c r="A24" s="16" t="s">
        <v>254</v>
      </c>
      <c r="B24" s="16">
        <v>15</v>
      </c>
      <c r="C24" s="16" t="s">
        <v>256</v>
      </c>
      <c r="D24" s="16" t="s">
        <v>257</v>
      </c>
    </row>
    <row r="25" spans="1:4">
      <c r="A25" s="16" t="s">
        <v>254</v>
      </c>
      <c r="B25" s="16">
        <v>15</v>
      </c>
      <c r="C25" s="16" t="s">
        <v>258</v>
      </c>
      <c r="D25" s="16" t="s">
        <v>259</v>
      </c>
    </row>
    <row r="26" spans="1:4">
      <c r="A26" s="16" t="s">
        <v>254</v>
      </c>
      <c r="B26" s="16">
        <v>16</v>
      </c>
      <c r="C26" s="16" t="s">
        <v>260</v>
      </c>
      <c r="D26" s="16" t="s">
        <v>261</v>
      </c>
    </row>
    <row r="27" spans="1:4">
      <c r="A27" s="16" t="s">
        <v>254</v>
      </c>
      <c r="B27" s="16">
        <v>17</v>
      </c>
      <c r="C27" s="16" t="s">
        <v>216</v>
      </c>
      <c r="D27" s="16" t="s">
        <v>262</v>
      </c>
    </row>
    <row r="28" spans="1:4">
      <c r="A28" s="16" t="s">
        <v>254</v>
      </c>
      <c r="B28" s="16">
        <v>20</v>
      </c>
      <c r="C28" s="16" t="s">
        <v>263</v>
      </c>
      <c r="D28" s="16" t="s">
        <v>264</v>
      </c>
    </row>
    <row r="29" spans="1:4">
      <c r="A29" s="16" t="s">
        <v>254</v>
      </c>
      <c r="B29" s="16">
        <v>18</v>
      </c>
      <c r="C29" s="16" t="s">
        <v>265</v>
      </c>
      <c r="D29" s="16" t="s">
        <v>266</v>
      </c>
    </row>
    <row r="30" spans="1:4">
      <c r="A30" s="16" t="s">
        <v>254</v>
      </c>
      <c r="B30" s="16">
        <v>19</v>
      </c>
      <c r="C30" s="16" t="s">
        <v>267</v>
      </c>
      <c r="D30" s="16" t="s">
        <v>268</v>
      </c>
    </row>
    <row r="31" spans="1:4">
      <c r="A31" s="16" t="s">
        <v>254</v>
      </c>
      <c r="B31" s="16">
        <v>19</v>
      </c>
      <c r="C31" s="16" t="s">
        <v>269</v>
      </c>
      <c r="D31" s="16" t="s">
        <v>270</v>
      </c>
    </row>
    <row r="32" spans="1:4">
      <c r="A32" s="16" t="s">
        <v>254</v>
      </c>
      <c r="B32" s="16">
        <v>12</v>
      </c>
      <c r="C32" s="16" t="s">
        <v>271</v>
      </c>
      <c r="D32" s="16" t="s">
        <v>272</v>
      </c>
    </row>
    <row r="33" spans="1:4">
      <c r="A33" s="16" t="s">
        <v>254</v>
      </c>
      <c r="B33" s="16">
        <v>14</v>
      </c>
      <c r="C33" s="16" t="s">
        <v>273</v>
      </c>
      <c r="D33" s="16" t="s">
        <v>274</v>
      </c>
    </row>
    <row r="34" spans="1:4">
      <c r="A34" s="16" t="s">
        <v>254</v>
      </c>
      <c r="B34" s="16">
        <v>17</v>
      </c>
      <c r="C34" s="16" t="s">
        <v>275</v>
      </c>
      <c r="D34" s="16" t="s">
        <v>276</v>
      </c>
    </row>
    <row r="35" spans="1:4">
      <c r="A35" s="16" t="s">
        <v>254</v>
      </c>
      <c r="B35" s="16">
        <v>12</v>
      </c>
      <c r="C35" s="16" t="s">
        <v>277</v>
      </c>
      <c r="D35" s="16" t="s">
        <v>278</v>
      </c>
    </row>
    <row r="36" spans="1:4">
      <c r="A36" s="16" t="s">
        <v>254</v>
      </c>
      <c r="B36" s="16">
        <v>6</v>
      </c>
      <c r="C36" s="16" t="s">
        <v>279</v>
      </c>
      <c r="D36" s="16" t="s">
        <v>280</v>
      </c>
    </row>
    <row r="37" spans="1:4">
      <c r="A37" s="16" t="s">
        <v>254</v>
      </c>
      <c r="B37" s="16">
        <v>4</v>
      </c>
      <c r="C37" s="16" t="s">
        <v>281</v>
      </c>
      <c r="D37" s="16" t="s">
        <v>282</v>
      </c>
    </row>
    <row r="38" spans="1:4">
      <c r="A38" s="16" t="s">
        <v>254</v>
      </c>
      <c r="B38" s="16">
        <v>10</v>
      </c>
      <c r="C38" s="16" t="s">
        <v>218</v>
      </c>
      <c r="D38" s="16" t="s">
        <v>283</v>
      </c>
    </row>
    <row r="39" spans="1:4">
      <c r="A39" s="16" t="s">
        <v>254</v>
      </c>
      <c r="B39" s="16">
        <v>4</v>
      </c>
      <c r="C39" s="16" t="s">
        <v>284</v>
      </c>
      <c r="D39" s="16" t="s">
        <v>285</v>
      </c>
    </row>
    <row r="40" spans="1:4">
      <c r="A40" s="16" t="s">
        <v>254</v>
      </c>
      <c r="B40" s="16">
        <v>5</v>
      </c>
      <c r="C40" s="16" t="s">
        <v>286</v>
      </c>
      <c r="D40" s="16" t="s">
        <v>287</v>
      </c>
    </row>
    <row r="41" spans="1:4">
      <c r="A41" s="16" t="s">
        <v>254</v>
      </c>
      <c r="B41" s="16">
        <v>4</v>
      </c>
      <c r="C41" s="16" t="s">
        <v>288</v>
      </c>
      <c r="D41" s="16" t="s">
        <v>289</v>
      </c>
    </row>
    <row r="42" spans="1:4">
      <c r="A42" s="16" t="s">
        <v>254</v>
      </c>
      <c r="B42" s="16">
        <v>6</v>
      </c>
      <c r="C42" s="16" t="s">
        <v>244</v>
      </c>
      <c r="D42" s="16" t="s">
        <v>290</v>
      </c>
    </row>
    <row r="43" spans="1:4">
      <c r="A43" s="16" t="s">
        <v>254</v>
      </c>
      <c r="B43" s="16">
        <v>3</v>
      </c>
      <c r="C43" s="16" t="s">
        <v>291</v>
      </c>
      <c r="D43" s="16" t="s">
        <v>292</v>
      </c>
    </row>
    <row r="44" spans="1:4">
      <c r="A44" s="16" t="s">
        <v>254</v>
      </c>
      <c r="B44" s="16">
        <v>7</v>
      </c>
      <c r="C44" s="16" t="s">
        <v>288</v>
      </c>
      <c r="D44" s="16" t="s">
        <v>293</v>
      </c>
    </row>
    <row r="45" spans="1:4">
      <c r="A45" s="16" t="s">
        <v>254</v>
      </c>
      <c r="B45" s="16">
        <v>7</v>
      </c>
      <c r="C45" s="16" t="s">
        <v>294</v>
      </c>
      <c r="D45" s="16" t="s">
        <v>295</v>
      </c>
    </row>
    <row r="46" spans="1:4">
      <c r="A46" s="16" t="s">
        <v>254</v>
      </c>
      <c r="B46" s="16">
        <v>8</v>
      </c>
      <c r="C46" s="16" t="s">
        <v>294</v>
      </c>
      <c r="D46" s="16" t="s">
        <v>296</v>
      </c>
    </row>
    <row r="47" spans="1:4">
      <c r="A47" s="16" t="s">
        <v>297</v>
      </c>
      <c r="B47" s="16">
        <v>16</v>
      </c>
      <c r="C47" s="16" t="s">
        <v>298</v>
      </c>
      <c r="D47" s="16" t="s">
        <v>299</v>
      </c>
    </row>
    <row r="48" spans="1:4">
      <c r="A48" s="16" t="s">
        <v>297</v>
      </c>
      <c r="B48" s="16">
        <v>15</v>
      </c>
      <c r="C48" s="16" t="s">
        <v>300</v>
      </c>
      <c r="D48" s="16" t="s">
        <v>301</v>
      </c>
    </row>
    <row r="49" spans="1:4">
      <c r="A49" s="16" t="s">
        <v>297</v>
      </c>
      <c r="B49" s="16">
        <v>15</v>
      </c>
      <c r="C49" s="16" t="s">
        <v>302</v>
      </c>
      <c r="D49" s="16" t="s">
        <v>303</v>
      </c>
    </row>
    <row r="50" spans="1:4">
      <c r="A50" s="16" t="s">
        <v>297</v>
      </c>
      <c r="B50" s="16">
        <v>14</v>
      </c>
      <c r="C50" s="16" t="s">
        <v>304</v>
      </c>
      <c r="D50" s="16" t="s">
        <v>305</v>
      </c>
    </row>
    <row r="51" spans="1:4">
      <c r="A51" s="16" t="s">
        <v>297</v>
      </c>
      <c r="B51" s="16">
        <v>14</v>
      </c>
      <c r="C51" s="16" t="s">
        <v>288</v>
      </c>
      <c r="D51" s="16" t="s">
        <v>306</v>
      </c>
    </row>
    <row r="52" spans="1:4">
      <c r="A52" s="16" t="s">
        <v>297</v>
      </c>
      <c r="B52" s="16">
        <v>13</v>
      </c>
      <c r="C52" s="16" t="s">
        <v>222</v>
      </c>
      <c r="D52" s="16" t="s">
        <v>307</v>
      </c>
    </row>
    <row r="53" spans="1:4">
      <c r="A53" s="16" t="s">
        <v>297</v>
      </c>
      <c r="B53" s="16">
        <v>13</v>
      </c>
      <c r="C53" s="16" t="s">
        <v>308</v>
      </c>
      <c r="D53" s="16" t="s">
        <v>309</v>
      </c>
    </row>
    <row r="54" spans="1:4">
      <c r="A54" s="16" t="s">
        <v>297</v>
      </c>
      <c r="B54" s="16">
        <v>13</v>
      </c>
      <c r="C54" s="16" t="s">
        <v>310</v>
      </c>
      <c r="D54" s="16" t="s">
        <v>311</v>
      </c>
    </row>
    <row r="55" spans="1:4">
      <c r="A55" s="16" t="s">
        <v>297</v>
      </c>
      <c r="B55" s="16">
        <v>13</v>
      </c>
      <c r="C55" s="16" t="s">
        <v>312</v>
      </c>
      <c r="D55" s="16" t="s">
        <v>313</v>
      </c>
    </row>
    <row r="56" spans="1:4">
      <c r="A56" s="16" t="s">
        <v>297</v>
      </c>
      <c r="B56" s="16">
        <v>12</v>
      </c>
      <c r="C56" s="16" t="s">
        <v>314</v>
      </c>
      <c r="D56" s="16" t="s">
        <v>315</v>
      </c>
    </row>
    <row r="57" spans="1:4">
      <c r="A57" s="16" t="s">
        <v>297</v>
      </c>
      <c r="B57" s="16">
        <v>12</v>
      </c>
      <c r="C57" s="16" t="s">
        <v>316</v>
      </c>
      <c r="D57" s="16" t="s">
        <v>317</v>
      </c>
    </row>
    <row r="58" spans="1:4">
      <c r="A58" s="16" t="s">
        <v>297</v>
      </c>
      <c r="B58" s="16">
        <v>11</v>
      </c>
      <c r="C58" s="16" t="s">
        <v>318</v>
      </c>
      <c r="D58" s="16" t="s">
        <v>319</v>
      </c>
    </row>
    <row r="59" spans="1:4">
      <c r="A59" s="16" t="s">
        <v>297</v>
      </c>
      <c r="B59" s="16">
        <v>10</v>
      </c>
      <c r="C59" s="16" t="s">
        <v>248</v>
      </c>
      <c r="D59" s="16" t="s">
        <v>320</v>
      </c>
    </row>
    <row r="60" spans="1:4">
      <c r="A60" s="16" t="s">
        <v>297</v>
      </c>
      <c r="B60" s="16">
        <v>10</v>
      </c>
      <c r="C60" s="16" t="s">
        <v>321</v>
      </c>
      <c r="D60" s="16" t="s">
        <v>322</v>
      </c>
    </row>
    <row r="61" spans="1:4">
      <c r="A61" s="16" t="s">
        <v>297</v>
      </c>
      <c r="B61" s="16">
        <v>5</v>
      </c>
      <c r="C61" s="16" t="s">
        <v>310</v>
      </c>
      <c r="D61" s="16" t="s">
        <v>323</v>
      </c>
    </row>
    <row r="62" spans="1:4">
      <c r="A62" s="16" t="s">
        <v>297</v>
      </c>
      <c r="B62" s="16">
        <v>5</v>
      </c>
      <c r="C62" s="16" t="s">
        <v>324</v>
      </c>
      <c r="D62" s="16" t="s">
        <v>325</v>
      </c>
    </row>
    <row r="63" spans="1:4">
      <c r="A63" s="16" t="s">
        <v>297</v>
      </c>
      <c r="B63" s="16">
        <v>5</v>
      </c>
      <c r="C63" s="16" t="s">
        <v>298</v>
      </c>
      <c r="D63" s="16" t="s">
        <v>326</v>
      </c>
    </row>
    <row r="64" spans="1:4">
      <c r="A64" s="16" t="s">
        <v>297</v>
      </c>
      <c r="B64" s="16">
        <v>3</v>
      </c>
      <c r="C64" s="16" t="s">
        <v>327</v>
      </c>
      <c r="D64" s="16" t="s">
        <v>328</v>
      </c>
    </row>
    <row r="65" spans="1:4">
      <c r="A65" s="16" t="s">
        <v>297</v>
      </c>
      <c r="B65" s="16">
        <v>12</v>
      </c>
      <c r="C65" s="16" t="s">
        <v>298</v>
      </c>
      <c r="D65" s="16" t="s">
        <v>329</v>
      </c>
    </row>
    <row r="66" spans="1:4">
      <c r="A66" s="16" t="s">
        <v>330</v>
      </c>
      <c r="B66" s="16">
        <v>15</v>
      </c>
      <c r="C66" s="16" t="s">
        <v>331</v>
      </c>
      <c r="D66" s="16" t="s">
        <v>332</v>
      </c>
    </row>
    <row r="67" spans="1:4">
      <c r="A67" s="16" t="s">
        <v>330</v>
      </c>
      <c r="B67" s="16">
        <v>12</v>
      </c>
      <c r="C67" s="16" t="s">
        <v>333</v>
      </c>
      <c r="D67" s="16" t="s">
        <v>334</v>
      </c>
    </row>
    <row r="68" spans="1:4">
      <c r="A68" s="16" t="s">
        <v>330</v>
      </c>
      <c r="B68" s="16">
        <v>12</v>
      </c>
      <c r="C68" s="16" t="s">
        <v>335</v>
      </c>
      <c r="D68" s="16" t="s">
        <v>336</v>
      </c>
    </row>
    <row r="69" spans="1:4">
      <c r="A69" s="16" t="s">
        <v>330</v>
      </c>
      <c r="B69" s="16">
        <v>13</v>
      </c>
      <c r="C69" s="16" t="s">
        <v>337</v>
      </c>
      <c r="D69" s="16" t="s">
        <v>338</v>
      </c>
    </row>
    <row r="70" spans="1:4">
      <c r="A70" s="16" t="s">
        <v>330</v>
      </c>
      <c r="B70" s="16">
        <v>14</v>
      </c>
      <c r="C70" s="16" t="s">
        <v>339</v>
      </c>
      <c r="D70" s="16" t="s">
        <v>340</v>
      </c>
    </row>
    <row r="71" spans="1:4">
      <c r="A71" s="16" t="s">
        <v>330</v>
      </c>
      <c r="B71" s="16">
        <v>17</v>
      </c>
      <c r="C71" s="16" t="s">
        <v>298</v>
      </c>
      <c r="D71" s="16" t="s">
        <v>341</v>
      </c>
    </row>
    <row r="72" spans="1:4">
      <c r="A72" s="16" t="s">
        <v>330</v>
      </c>
      <c r="B72" s="16">
        <v>9</v>
      </c>
      <c r="C72" s="16" t="s">
        <v>342</v>
      </c>
      <c r="D72" s="16" t="s">
        <v>343</v>
      </c>
    </row>
    <row r="73" spans="1:4">
      <c r="A73" s="16" t="s">
        <v>330</v>
      </c>
      <c r="B73" s="16">
        <v>15</v>
      </c>
      <c r="C73" s="16" t="s">
        <v>344</v>
      </c>
      <c r="D73" s="16" t="s">
        <v>345</v>
      </c>
    </row>
    <row r="74" spans="1:4">
      <c r="A74" s="16" t="s">
        <v>330</v>
      </c>
      <c r="B74" s="16">
        <v>17</v>
      </c>
      <c r="C74" s="16" t="s">
        <v>346</v>
      </c>
      <c r="D74" s="16" t="s">
        <v>347</v>
      </c>
    </row>
    <row r="75" spans="1:4">
      <c r="A75" s="16" t="s">
        <v>330</v>
      </c>
      <c r="B75" s="16">
        <v>18</v>
      </c>
      <c r="C75" s="16" t="s">
        <v>288</v>
      </c>
      <c r="D75" s="16" t="s">
        <v>348</v>
      </c>
    </row>
    <row r="76" spans="1:4">
      <c r="A76" s="16" t="s">
        <v>330</v>
      </c>
      <c r="B76" s="16">
        <v>12</v>
      </c>
      <c r="C76" s="16" t="s">
        <v>324</v>
      </c>
      <c r="D76" s="16" t="s">
        <v>349</v>
      </c>
    </row>
    <row r="77" spans="1:4">
      <c r="A77" s="16" t="s">
        <v>330</v>
      </c>
      <c r="B77" s="16">
        <v>15</v>
      </c>
      <c r="C77" s="16" t="s">
        <v>350</v>
      </c>
      <c r="D77" s="16" t="s">
        <v>351</v>
      </c>
    </row>
    <row r="78" spans="1:4">
      <c r="A78" s="16" t="s">
        <v>330</v>
      </c>
      <c r="B78" s="16">
        <v>9</v>
      </c>
      <c r="C78" s="16" t="s">
        <v>352</v>
      </c>
      <c r="D78" s="16" t="s">
        <v>353</v>
      </c>
    </row>
    <row r="79" spans="1:4">
      <c r="A79" s="16" t="s">
        <v>330</v>
      </c>
      <c r="B79" s="16">
        <v>4</v>
      </c>
      <c r="C79" s="16" t="s">
        <v>354</v>
      </c>
      <c r="D79" s="16" t="s">
        <v>355</v>
      </c>
    </row>
    <row r="80" spans="1:4">
      <c r="A80" s="16" t="s">
        <v>330</v>
      </c>
      <c r="B80" s="16">
        <v>8</v>
      </c>
      <c r="C80" s="16" t="s">
        <v>356</v>
      </c>
      <c r="D80" s="16" t="s">
        <v>357</v>
      </c>
    </row>
    <row r="81" spans="1:4">
      <c r="A81" s="16" t="s">
        <v>330</v>
      </c>
      <c r="B81" s="16">
        <v>4</v>
      </c>
      <c r="C81" s="16" t="s">
        <v>358</v>
      </c>
      <c r="D81" s="16" t="s">
        <v>359</v>
      </c>
    </row>
    <row r="82" spans="1:4">
      <c r="A82" s="16" t="s">
        <v>330</v>
      </c>
      <c r="B82" s="16">
        <v>4</v>
      </c>
      <c r="C82" s="16" t="s">
        <v>263</v>
      </c>
      <c r="D82" s="16" t="s">
        <v>360</v>
      </c>
    </row>
    <row r="83" spans="1:4">
      <c r="A83" s="16" t="s">
        <v>330</v>
      </c>
      <c r="B83" s="16">
        <v>4</v>
      </c>
      <c r="C83" s="16" t="s">
        <v>361</v>
      </c>
      <c r="D83" s="16" t="s">
        <v>362</v>
      </c>
    </row>
    <row r="84" spans="1:4">
      <c r="A84" s="16" t="s">
        <v>330</v>
      </c>
      <c r="B84" s="16">
        <v>4</v>
      </c>
      <c r="C84" s="16" t="s">
        <v>363</v>
      </c>
      <c r="D84" s="16" t="s">
        <v>364</v>
      </c>
    </row>
    <row r="85" spans="1:4">
      <c r="A85" s="16" t="s">
        <v>330</v>
      </c>
      <c r="B85" s="16">
        <v>4</v>
      </c>
      <c r="C85" s="16" t="s">
        <v>365</v>
      </c>
      <c r="D85" s="16" t="s">
        <v>366</v>
      </c>
    </row>
    <row r="86" spans="1:4">
      <c r="A86" s="16" t="s">
        <v>330</v>
      </c>
      <c r="B86" s="16">
        <v>5</v>
      </c>
      <c r="C86" s="16" t="s">
        <v>367</v>
      </c>
      <c r="D86" s="16" t="s">
        <v>368</v>
      </c>
    </row>
    <row r="87" spans="1:4">
      <c r="A87" s="16" t="s">
        <v>330</v>
      </c>
      <c r="B87" s="16">
        <v>5</v>
      </c>
      <c r="C87" s="16" t="s">
        <v>369</v>
      </c>
      <c r="D87" s="16" t="s">
        <v>370</v>
      </c>
    </row>
    <row r="88" spans="1:4">
      <c r="A88" s="16" t="s">
        <v>330</v>
      </c>
      <c r="B88" s="16">
        <v>7</v>
      </c>
      <c r="C88" s="16" t="s">
        <v>371</v>
      </c>
      <c r="D88" s="16" t="s">
        <v>372</v>
      </c>
    </row>
    <row r="89" spans="1:4">
      <c r="A89" s="16" t="s">
        <v>330</v>
      </c>
      <c r="B89" s="16">
        <v>7</v>
      </c>
      <c r="C89" s="16" t="s">
        <v>373</v>
      </c>
      <c r="D89" s="16" t="s">
        <v>374</v>
      </c>
    </row>
    <row r="90" spans="1:4">
      <c r="A90" s="16" t="s">
        <v>375</v>
      </c>
      <c r="B90" s="16">
        <v>12</v>
      </c>
      <c r="C90" s="16" t="s">
        <v>376</v>
      </c>
      <c r="D90" s="16" t="s">
        <v>377</v>
      </c>
    </row>
    <row r="91" spans="1:4">
      <c r="A91" s="16" t="s">
        <v>375</v>
      </c>
      <c r="B91" s="16">
        <v>17</v>
      </c>
      <c r="C91" s="16" t="s">
        <v>367</v>
      </c>
      <c r="D91" s="16" t="s">
        <v>378</v>
      </c>
    </row>
    <row r="92" spans="1:4">
      <c r="A92" s="16" t="s">
        <v>375</v>
      </c>
      <c r="B92" s="16">
        <v>17</v>
      </c>
      <c r="C92" s="16" t="s">
        <v>379</v>
      </c>
      <c r="D92" s="16" t="s">
        <v>380</v>
      </c>
    </row>
    <row r="93" spans="1:4">
      <c r="A93" s="16" t="s">
        <v>375</v>
      </c>
      <c r="B93" s="16">
        <v>15</v>
      </c>
      <c r="C93" s="16" t="s">
        <v>381</v>
      </c>
      <c r="D93" s="16" t="s">
        <v>382</v>
      </c>
    </row>
    <row r="94" spans="1:4">
      <c r="A94" s="16" t="s">
        <v>375</v>
      </c>
      <c r="B94" s="16">
        <v>14</v>
      </c>
      <c r="C94" s="16" t="s">
        <v>383</v>
      </c>
      <c r="D94" s="16" t="s">
        <v>384</v>
      </c>
    </row>
    <row r="95" spans="1:4">
      <c r="A95" s="16" t="s">
        <v>375</v>
      </c>
      <c r="B95" s="16">
        <v>13</v>
      </c>
      <c r="C95" s="16" t="s">
        <v>383</v>
      </c>
      <c r="D95" s="16" t="s">
        <v>385</v>
      </c>
    </row>
    <row r="96" spans="1:4">
      <c r="A96" s="16" t="s">
        <v>375</v>
      </c>
      <c r="B96" s="16">
        <v>12</v>
      </c>
      <c r="C96" s="16" t="s">
        <v>256</v>
      </c>
      <c r="D96" s="16" t="s">
        <v>386</v>
      </c>
    </row>
    <row r="97" spans="1:4">
      <c r="A97" s="16" t="s">
        <v>375</v>
      </c>
      <c r="B97" s="16">
        <v>12</v>
      </c>
      <c r="C97" s="16" t="s">
        <v>294</v>
      </c>
      <c r="D97" s="16" t="s">
        <v>387</v>
      </c>
    </row>
    <row r="98" spans="1:4">
      <c r="A98" s="16" t="s">
        <v>375</v>
      </c>
      <c r="B98" s="16">
        <v>12</v>
      </c>
      <c r="C98" s="16" t="s">
        <v>294</v>
      </c>
      <c r="D98" s="16" t="s">
        <v>388</v>
      </c>
    </row>
    <row r="99" spans="1:4">
      <c r="A99" s="16" t="s">
        <v>375</v>
      </c>
      <c r="B99" s="16">
        <v>12</v>
      </c>
      <c r="C99" s="16" t="s">
        <v>256</v>
      </c>
      <c r="D99" s="16" t="s">
        <v>389</v>
      </c>
    </row>
    <row r="100" spans="1:4">
      <c r="A100" s="16" t="s">
        <v>375</v>
      </c>
      <c r="B100" s="16">
        <v>11</v>
      </c>
      <c r="C100" s="16" t="s">
        <v>390</v>
      </c>
      <c r="D100" s="16" t="s">
        <v>391</v>
      </c>
    </row>
    <row r="101" spans="1:4">
      <c r="A101" s="16" t="s">
        <v>375</v>
      </c>
      <c r="B101" s="16">
        <v>12</v>
      </c>
      <c r="C101" s="16" t="s">
        <v>392</v>
      </c>
      <c r="D101" s="16" t="s">
        <v>393</v>
      </c>
    </row>
    <row r="102" spans="1:4">
      <c r="A102" s="16" t="s">
        <v>375</v>
      </c>
      <c r="B102" s="16">
        <v>6</v>
      </c>
      <c r="C102" s="16" t="s">
        <v>248</v>
      </c>
      <c r="D102" s="16" t="s">
        <v>394</v>
      </c>
    </row>
    <row r="103" spans="1:4">
      <c r="A103" s="16" t="s">
        <v>375</v>
      </c>
      <c r="B103" s="16">
        <v>4</v>
      </c>
      <c r="C103" s="16" t="s">
        <v>395</v>
      </c>
      <c r="D103" s="16" t="s">
        <v>396</v>
      </c>
    </row>
    <row r="104" spans="1:4">
      <c r="A104" s="16" t="s">
        <v>375</v>
      </c>
      <c r="B104" s="16">
        <v>5</v>
      </c>
      <c r="C104" s="16" t="s">
        <v>397</v>
      </c>
      <c r="D104" s="16" t="s">
        <v>398</v>
      </c>
    </row>
    <row r="105" spans="1:4">
      <c r="A105" s="16" t="s">
        <v>375</v>
      </c>
      <c r="B105" s="16">
        <v>6</v>
      </c>
      <c r="C105" s="16" t="s">
        <v>399</v>
      </c>
      <c r="D105" s="16" t="s">
        <v>400</v>
      </c>
    </row>
    <row r="106" spans="1:4">
      <c r="A106" s="16" t="s">
        <v>375</v>
      </c>
      <c r="B106" s="16">
        <v>4</v>
      </c>
      <c r="C106" s="16" t="s">
        <v>376</v>
      </c>
      <c r="D106" s="16" t="s">
        <v>401</v>
      </c>
    </row>
    <row r="107" spans="1:4">
      <c r="A107" s="16" t="s">
        <v>375</v>
      </c>
      <c r="B107" s="16">
        <v>9</v>
      </c>
      <c r="C107" s="16" t="s">
        <v>402</v>
      </c>
      <c r="D107" s="16" t="s">
        <v>403</v>
      </c>
    </row>
    <row r="108" spans="1:4">
      <c r="A108" s="16" t="s">
        <v>375</v>
      </c>
      <c r="B108" s="16">
        <v>10</v>
      </c>
      <c r="C108" s="16" t="s">
        <v>404</v>
      </c>
      <c r="D108" s="16" t="s">
        <v>405</v>
      </c>
    </row>
    <row r="109" spans="1:4">
      <c r="A109" s="16" t="s">
        <v>375</v>
      </c>
      <c r="B109" s="16">
        <v>11</v>
      </c>
      <c r="C109" s="16" t="s">
        <v>406</v>
      </c>
      <c r="D109" s="16" t="s">
        <v>407</v>
      </c>
    </row>
    <row r="110" spans="1:4">
      <c r="A110" s="16" t="s">
        <v>408</v>
      </c>
      <c r="B110" s="16">
        <v>5</v>
      </c>
      <c r="C110" s="16" t="s">
        <v>409</v>
      </c>
      <c r="D110" s="16" t="s">
        <v>410</v>
      </c>
    </row>
    <row r="111" spans="1:4">
      <c r="A111" s="16" t="s">
        <v>408</v>
      </c>
      <c r="B111" s="16">
        <v>16</v>
      </c>
      <c r="C111" s="16" t="s">
        <v>411</v>
      </c>
      <c r="D111" s="16" t="s">
        <v>412</v>
      </c>
    </row>
    <row r="112" spans="1:4">
      <c r="A112" s="16" t="s">
        <v>408</v>
      </c>
      <c r="B112" s="16">
        <v>13</v>
      </c>
      <c r="C112" s="16" t="s">
        <v>250</v>
      </c>
      <c r="D112" s="16" t="s">
        <v>413</v>
      </c>
    </row>
    <row r="113" spans="1:4">
      <c r="A113" s="16" t="s">
        <v>408</v>
      </c>
      <c r="B113" s="16">
        <v>9</v>
      </c>
      <c r="C113" s="16" t="s">
        <v>414</v>
      </c>
      <c r="D113" s="16" t="s">
        <v>415</v>
      </c>
    </row>
    <row r="114" spans="1:4">
      <c r="A114" s="16" t="s">
        <v>408</v>
      </c>
      <c r="B114" s="16">
        <v>8</v>
      </c>
      <c r="C114" s="16" t="s">
        <v>316</v>
      </c>
      <c r="D114" s="16" t="s">
        <v>416</v>
      </c>
    </row>
    <row r="115" spans="1:4">
      <c r="A115" s="16" t="s">
        <v>408</v>
      </c>
      <c r="B115" s="16">
        <v>7</v>
      </c>
      <c r="C115" s="16" t="s">
        <v>417</v>
      </c>
      <c r="D115" s="16" t="s">
        <v>418</v>
      </c>
    </row>
    <row r="116" spans="1:4">
      <c r="A116" s="16" t="s">
        <v>408</v>
      </c>
      <c r="B116" s="16">
        <v>7</v>
      </c>
      <c r="C116" s="16" t="s">
        <v>419</v>
      </c>
      <c r="D116" s="16" t="s">
        <v>420</v>
      </c>
    </row>
    <row r="117" spans="1:4">
      <c r="A117" s="16" t="s">
        <v>408</v>
      </c>
      <c r="B117" s="16">
        <v>7</v>
      </c>
      <c r="C117" s="16" t="s">
        <v>298</v>
      </c>
      <c r="D117" s="16" t="s">
        <v>421</v>
      </c>
    </row>
    <row r="118" spans="1:4">
      <c r="A118" s="16" t="s">
        <v>408</v>
      </c>
      <c r="B118" s="16">
        <v>8</v>
      </c>
      <c r="C118" s="16" t="s">
        <v>316</v>
      </c>
      <c r="D118" s="16" t="s">
        <v>422</v>
      </c>
    </row>
    <row r="119" spans="1:4">
      <c r="A119" s="16" t="s">
        <v>408</v>
      </c>
      <c r="B119" s="16">
        <v>5</v>
      </c>
      <c r="C119" s="16" t="s">
        <v>423</v>
      </c>
      <c r="D119" s="16" t="s">
        <v>424</v>
      </c>
    </row>
    <row r="120" spans="1:4">
      <c r="A120" s="16" t="s">
        <v>408</v>
      </c>
      <c r="B120" s="16">
        <v>4</v>
      </c>
      <c r="C120" s="16" t="s">
        <v>354</v>
      </c>
      <c r="D120" s="16" t="s">
        <v>425</v>
      </c>
    </row>
    <row r="121" spans="1:4">
      <c r="A121" s="16" t="s">
        <v>408</v>
      </c>
      <c r="B121" s="16">
        <v>4</v>
      </c>
      <c r="C121" s="16" t="s">
        <v>426</v>
      </c>
      <c r="D121" s="16" t="s">
        <v>427</v>
      </c>
    </row>
    <row r="122" spans="1:4">
      <c r="A122" s="16" t="s">
        <v>408</v>
      </c>
      <c r="B122" s="16">
        <v>4</v>
      </c>
      <c r="C122" s="16" t="s">
        <v>222</v>
      </c>
      <c r="D122" s="16" t="s">
        <v>428</v>
      </c>
    </row>
    <row r="123" spans="1:4">
      <c r="A123" s="16" t="s">
        <v>408</v>
      </c>
      <c r="B123" s="16">
        <v>4</v>
      </c>
      <c r="C123" s="16" t="s">
        <v>429</v>
      </c>
      <c r="D123" s="16" t="s">
        <v>430</v>
      </c>
    </row>
    <row r="124" spans="1:4">
      <c r="A124" s="16" t="s">
        <v>408</v>
      </c>
      <c r="B124" s="16">
        <v>3</v>
      </c>
      <c r="C124" s="16" t="s">
        <v>431</v>
      </c>
      <c r="D124" s="16" t="s">
        <v>432</v>
      </c>
    </row>
    <row r="125" spans="1:4">
      <c r="A125" s="16" t="s">
        <v>408</v>
      </c>
      <c r="B125" s="16">
        <v>3</v>
      </c>
      <c r="C125" s="16" t="s">
        <v>218</v>
      </c>
      <c r="D125" s="16" t="s">
        <v>433</v>
      </c>
    </row>
    <row r="126" spans="1:4">
      <c r="A126" s="16" t="s">
        <v>408</v>
      </c>
      <c r="B126" s="16">
        <v>5</v>
      </c>
      <c r="C126" s="16" t="s">
        <v>434</v>
      </c>
      <c r="D126" s="16" t="s">
        <v>435</v>
      </c>
    </row>
    <row r="127" spans="1:4">
      <c r="A127" s="16" t="s">
        <v>436</v>
      </c>
      <c r="B127" s="16">
        <v>13</v>
      </c>
      <c r="C127" s="16" t="s">
        <v>437</v>
      </c>
      <c r="D127" s="16" t="s">
        <v>438</v>
      </c>
    </row>
    <row r="128" spans="1:4">
      <c r="A128" s="16" t="s">
        <v>436</v>
      </c>
      <c r="B128" s="16">
        <v>9</v>
      </c>
      <c r="C128" s="16" t="s">
        <v>439</v>
      </c>
      <c r="D128" s="16" t="s">
        <v>440</v>
      </c>
    </row>
    <row r="129" spans="1:4">
      <c r="A129" s="16" t="s">
        <v>436</v>
      </c>
      <c r="B129" s="16">
        <v>10</v>
      </c>
      <c r="C129" s="16" t="s">
        <v>333</v>
      </c>
      <c r="D129" s="16" t="s">
        <v>441</v>
      </c>
    </row>
    <row r="130" spans="1:4">
      <c r="A130" s="16" t="s">
        <v>436</v>
      </c>
      <c r="B130" s="16">
        <v>10</v>
      </c>
      <c r="C130" s="16" t="s">
        <v>298</v>
      </c>
      <c r="D130" s="16" t="s">
        <v>442</v>
      </c>
    </row>
    <row r="131" spans="1:4">
      <c r="A131" s="16" t="s">
        <v>436</v>
      </c>
      <c r="B131" s="16">
        <v>16</v>
      </c>
      <c r="C131" s="16" t="s">
        <v>443</v>
      </c>
      <c r="D131" s="16" t="s">
        <v>444</v>
      </c>
    </row>
    <row r="132" spans="1:4">
      <c r="A132" s="16" t="s">
        <v>436</v>
      </c>
      <c r="B132" s="16">
        <v>14</v>
      </c>
      <c r="C132" s="16" t="s">
        <v>445</v>
      </c>
      <c r="D132" s="16" t="s">
        <v>446</v>
      </c>
    </row>
    <row r="133" spans="1:4">
      <c r="A133" s="16" t="s">
        <v>436</v>
      </c>
      <c r="B133" s="16">
        <v>15</v>
      </c>
      <c r="C133" s="16" t="s">
        <v>447</v>
      </c>
      <c r="D133" s="16" t="s">
        <v>448</v>
      </c>
    </row>
    <row r="134" spans="1:4">
      <c r="A134" s="16" t="s">
        <v>436</v>
      </c>
      <c r="B134" s="16">
        <v>9</v>
      </c>
      <c r="C134" s="16" t="s">
        <v>294</v>
      </c>
      <c r="D134" s="16" t="s">
        <v>449</v>
      </c>
    </row>
    <row r="135" spans="1:4">
      <c r="A135" s="16" t="s">
        <v>436</v>
      </c>
      <c r="B135" s="16">
        <v>16</v>
      </c>
      <c r="C135" s="16" t="s">
        <v>333</v>
      </c>
      <c r="D135" s="16" t="s">
        <v>450</v>
      </c>
    </row>
    <row r="136" spans="1:4">
      <c r="A136" s="16" t="s">
        <v>436</v>
      </c>
      <c r="B136" s="16">
        <v>9</v>
      </c>
      <c r="C136" s="16" t="s">
        <v>451</v>
      </c>
      <c r="D136" s="16" t="s">
        <v>452</v>
      </c>
    </row>
    <row r="137" spans="1:4">
      <c r="A137" s="16" t="s">
        <v>436</v>
      </c>
      <c r="B137" s="16">
        <v>13</v>
      </c>
      <c r="C137" s="16" t="s">
        <v>294</v>
      </c>
      <c r="D137" s="16" t="s">
        <v>453</v>
      </c>
    </row>
    <row r="138" spans="1:4">
      <c r="A138" s="16" t="s">
        <v>436</v>
      </c>
      <c r="B138" s="16">
        <v>9</v>
      </c>
      <c r="C138" s="16" t="s">
        <v>294</v>
      </c>
      <c r="D138" s="16" t="s">
        <v>454</v>
      </c>
    </row>
    <row r="139" spans="1:4">
      <c r="A139" s="16" t="s">
        <v>436</v>
      </c>
      <c r="B139" s="16">
        <v>4</v>
      </c>
      <c r="C139" s="16" t="s">
        <v>455</v>
      </c>
      <c r="D139" s="16" t="s">
        <v>456</v>
      </c>
    </row>
    <row r="140" spans="1:4">
      <c r="A140" s="16" t="s">
        <v>436</v>
      </c>
      <c r="B140" s="16">
        <v>6</v>
      </c>
      <c r="C140" s="16" t="s">
        <v>457</v>
      </c>
      <c r="D140" s="16" t="s">
        <v>458</v>
      </c>
    </row>
    <row r="141" spans="1:4">
      <c r="A141" s="16" t="s">
        <v>436</v>
      </c>
      <c r="B141" s="16">
        <v>4</v>
      </c>
      <c r="C141" s="16" t="s">
        <v>294</v>
      </c>
      <c r="D141" s="16" t="s">
        <v>459</v>
      </c>
    </row>
    <row r="142" spans="1:4">
      <c r="A142" s="16" t="s">
        <v>436</v>
      </c>
      <c r="B142" s="16">
        <v>4</v>
      </c>
      <c r="C142" s="16" t="s">
        <v>294</v>
      </c>
      <c r="D142" s="16" t="s">
        <v>460</v>
      </c>
    </row>
    <row r="143" spans="1:4">
      <c r="A143" s="16" t="s">
        <v>436</v>
      </c>
      <c r="B143" s="16">
        <v>3</v>
      </c>
      <c r="C143" s="16" t="s">
        <v>291</v>
      </c>
      <c r="D143" s="16" t="s">
        <v>461</v>
      </c>
    </row>
    <row r="144" spans="1:4">
      <c r="A144" s="16" t="s">
        <v>436</v>
      </c>
      <c r="B144" s="16">
        <v>4</v>
      </c>
      <c r="C144" s="16" t="s">
        <v>216</v>
      </c>
      <c r="D144" s="16" t="s">
        <v>462</v>
      </c>
    </row>
    <row r="145" spans="1:4">
      <c r="A145" s="16" t="s">
        <v>436</v>
      </c>
      <c r="B145" s="16">
        <v>4</v>
      </c>
      <c r="C145" s="16" t="s">
        <v>463</v>
      </c>
      <c r="D145" s="16" t="s">
        <v>464</v>
      </c>
    </row>
    <row r="146" spans="1:4">
      <c r="A146" s="16" t="s">
        <v>436</v>
      </c>
      <c r="B146" s="16">
        <v>5</v>
      </c>
      <c r="C146" s="16" t="s">
        <v>465</v>
      </c>
      <c r="D146" s="16" t="s">
        <v>466</v>
      </c>
    </row>
    <row r="147" spans="1:4">
      <c r="A147" s="16" t="s">
        <v>436</v>
      </c>
      <c r="B147" s="16">
        <v>5</v>
      </c>
      <c r="C147" s="16" t="s">
        <v>467</v>
      </c>
      <c r="D147" s="16" t="s">
        <v>468</v>
      </c>
    </row>
    <row r="148" spans="1:4">
      <c r="A148" s="16" t="s">
        <v>469</v>
      </c>
      <c r="B148" s="16">
        <v>6</v>
      </c>
      <c r="C148" s="16" t="s">
        <v>298</v>
      </c>
      <c r="D148" s="16" t="s">
        <v>470</v>
      </c>
    </row>
    <row r="149" spans="1:4">
      <c r="A149" s="16" t="s">
        <v>469</v>
      </c>
      <c r="B149" s="16">
        <v>14</v>
      </c>
      <c r="C149" s="16" t="s">
        <v>471</v>
      </c>
      <c r="D149" s="16" t="s">
        <v>472</v>
      </c>
    </row>
    <row r="150" spans="1:4">
      <c r="A150" s="16" t="s">
        <v>469</v>
      </c>
      <c r="B150" s="16">
        <v>13</v>
      </c>
      <c r="C150" s="16" t="s">
        <v>473</v>
      </c>
      <c r="D150" s="16" t="s">
        <v>474</v>
      </c>
    </row>
    <row r="151" spans="1:4">
      <c r="A151" s="16" t="s">
        <v>469</v>
      </c>
      <c r="B151" s="16">
        <v>13</v>
      </c>
      <c r="C151" s="16" t="s">
        <v>475</v>
      </c>
      <c r="D151" s="16" t="s">
        <v>476</v>
      </c>
    </row>
    <row r="152" spans="1:4">
      <c r="A152" s="16" t="s">
        <v>469</v>
      </c>
      <c r="B152" s="16">
        <v>11</v>
      </c>
      <c r="C152" s="16" t="s">
        <v>477</v>
      </c>
      <c r="D152" s="16" t="s">
        <v>478</v>
      </c>
    </row>
    <row r="153" spans="1:4">
      <c r="A153" s="16" t="s">
        <v>469</v>
      </c>
      <c r="B153" s="16">
        <v>9</v>
      </c>
      <c r="C153" s="16" t="s">
        <v>479</v>
      </c>
      <c r="D153" s="16"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44</vt:i4>
      </vt:variant>
    </vt:vector>
  </HeadingPairs>
  <TitlesOfParts>
    <vt:vector size="50" baseType="lpstr">
      <vt:lpstr>Cover</vt:lpstr>
      <vt:lpstr>Inputs</vt:lpstr>
      <vt:lpstr>Model</vt:lpstr>
      <vt:lpstr>DCF</vt:lpstr>
      <vt:lpstr>Comps</vt:lpstr>
      <vt:lpstr>Guidance</vt:lpstr>
      <vt:lpstr>in_beta_raw</vt:lpstr>
      <vt:lpstr>in_capz</vt:lpstr>
      <vt:lpstr>in_cash</vt:lpstr>
      <vt:lpstr>in_debt_share</vt:lpstr>
      <vt:lpstr>in_dep</vt:lpstr>
      <vt:lpstr>in_drift</vt:lpstr>
      <vt:lpstr>in_ds</vt:lpstr>
      <vt:lpstr>in_erp</vt:lpstr>
      <vt:lpstr>in_execution</vt:lpstr>
      <vt:lpstr>in_g</vt:lpstr>
      <vt:lpstr>in_gsec</vt:lpstr>
      <vt:lpstr>in_int</vt:lpstr>
      <vt:lpstr>in_inv_g</vt:lpstr>
      <vt:lpstr>in_jv0</vt:lpstr>
      <vt:lpstr>in_jv_g</vt:lpstr>
      <vt:lpstr>in_kd</vt:lpstr>
      <vt:lpstr>in_mi</vt:lpstr>
      <vt:lpstr>in_min_cash</vt:lpstr>
      <vt:lpstr>in_mult</vt:lpstr>
      <vt:lpstr>in_oa</vt:lpstr>
      <vt:lpstr>in_oi</vt:lpstr>
      <vt:lpstr>in_ol</vt:lpstr>
      <vt:lpstr>in_payout</vt:lpstr>
      <vt:lpstr>in_price</vt:lpstr>
      <vt:lpstr>in_re_cost</vt:lpstr>
      <vt:lpstr>in_re_cuf</vt:lpstr>
      <vt:lpstr>in_re_margin</vt:lpstr>
      <vt:lpstr>in_re_mw0</vt:lpstr>
      <vt:lpstr>in_re_mw_prev</vt:lpstr>
      <vt:lpstr>in_re_share</vt:lpstr>
      <vt:lpstr>in_re_tariff</vt:lpstr>
      <vt:lpstr>in_ronic</vt:lpstr>
      <vt:lpstr>in_shares</vt:lpstr>
      <vt:lpstr>in_stub</vt:lpstr>
      <vt:lpstr>in_tax</vt:lpstr>
      <vt:lpstr>in_w_dcf</vt:lpstr>
      <vt:lpstr>in_yield</vt:lpstr>
      <vt:lpstr>out_dcf_12m</vt:lpstr>
      <vt:lpstr>out_dcf_ps</vt:lpstr>
      <vt:lpstr>out_rating</vt:lpstr>
      <vt:lpstr>out_rel_ps</vt:lpstr>
      <vt:lpstr>out_tp</vt:lpstr>
      <vt:lpstr>out_upside</vt:lpstr>
      <vt:lpstr>wacc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2026-09-26T18:41:25Z</dcterms:created>
  <dcterms:modified xsi:type="dcterms:W3CDTF">2026-09-26T18:41:25Z</dcterms:modified>
</cp:coreProperties>
</file>